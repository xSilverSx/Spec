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userp38\Документы\Mail Cloud\5-Шаблоны\Кабельный журнал\"/>
    </mc:Choice>
  </mc:AlternateContent>
  <bookViews>
    <workbookView xWindow="0" yWindow="0" windowWidth="28800" windowHeight="11745" activeTab="4"/>
  </bookViews>
  <sheets>
    <sheet name="Кабель" sheetId="2" r:id="rId1"/>
    <sheet name="Содержание" sheetId="10" r:id="rId2"/>
    <sheet name="Сводная ведомость A3" sheetId="4" r:id="rId3"/>
    <sheet name="Сводная ведомость A4" sheetId="12" state="hidden" r:id="rId4"/>
    <sheet name="КЖ" sheetId="6" r:id="rId5"/>
    <sheet name="Сводная таблица" sheetId="11" r:id="rId6"/>
  </sheets>
  <functionGroups builtInGroupCount="18"/>
  <definedNames>
    <definedName name="_xlnm._FilterDatabase" localSheetId="5" hidden="1">'Сводная таблица'!$I$27:$I$42</definedName>
    <definedName name="Жила1">Кабель!$C:$C</definedName>
    <definedName name="Жилы">Кабель!$A$1:$A$5</definedName>
    <definedName name="Жилы2">Кабель!$D:$D</definedName>
    <definedName name="Жилы3">Кабель!$E:$E</definedName>
    <definedName name="Жилы4">Кабель!$F:$F</definedName>
    <definedName name="Жилы5">Кабель!$G:$G</definedName>
    <definedName name="_xlnm.Print_Titles" localSheetId="4">КЖ!$1:$2</definedName>
    <definedName name="КЖ">КЖ!$4:$27</definedName>
    <definedName name="Разметка">КЖ!$S$4</definedName>
    <definedName name="Тип">Кабель!$B$1:$B$9</definedName>
  </definedNames>
  <calcPr calcId="152511"/>
  <pivotCaches>
    <pivotCache cacheId="0" r:id="rId7"/>
  </pivotCaches>
</workbook>
</file>

<file path=xl/calcChain.xml><?xml version="1.0" encoding="utf-8"?>
<calcChain xmlns="http://schemas.openxmlformats.org/spreadsheetml/2006/main">
  <c r="BH33" i="4" l="1"/>
  <c r="BH35" i="4"/>
  <c r="AM3" i="4" l="1"/>
  <c r="AC3" i="4"/>
  <c r="B316" i="6"/>
  <c r="R316" i="6" s="1"/>
  <c r="R317" i="6" s="1"/>
  <c r="R318" i="6" s="1"/>
  <c r="R319" i="6" s="1"/>
  <c r="R320" i="6" s="1"/>
  <c r="R321" i="6" s="1"/>
  <c r="R322" i="6" s="1"/>
  <c r="R323" i="6" s="1"/>
  <c r="R324" i="6" s="1"/>
  <c r="R325" i="6" s="1"/>
  <c r="R326" i="6" s="1"/>
  <c r="R327" i="6" s="1"/>
  <c r="R328" i="6" s="1"/>
  <c r="R329" i="6" s="1"/>
  <c r="R330" i="6" s="1"/>
  <c r="R331" i="6" s="1"/>
  <c r="R332" i="6" s="1"/>
  <c r="R333" i="6" s="1"/>
  <c r="R334" i="6" s="1"/>
  <c r="R335" i="6" s="1"/>
  <c r="M337" i="6"/>
  <c r="Q338" i="6"/>
  <c r="F13" i="4"/>
  <c r="AE13" i="4"/>
  <c r="AC13" i="4"/>
  <c r="AQ13" i="4"/>
  <c r="AY13" i="4"/>
  <c r="BG13" i="4"/>
  <c r="AG13" i="4"/>
  <c r="AK13" i="4"/>
  <c r="AS13" i="4"/>
  <c r="BA13" i="4"/>
  <c r="BI13" i="4"/>
  <c r="AA13" i="4"/>
  <c r="AM13" i="4"/>
  <c r="AU13" i="4"/>
  <c r="BC13" i="4"/>
  <c r="BK13" i="4"/>
  <c r="AI13" i="4"/>
  <c r="AO13" i="4"/>
  <c r="AW13" i="4"/>
  <c r="BE13" i="4"/>
  <c r="B292" i="6" l="1"/>
  <c r="R292" i="6" s="1"/>
  <c r="R293" i="6" s="1"/>
  <c r="R294" i="6" s="1"/>
  <c r="R295" i="6" s="1"/>
  <c r="R296" i="6" s="1"/>
  <c r="R297" i="6" s="1"/>
  <c r="R298" i="6" s="1"/>
  <c r="R299" i="6" s="1"/>
  <c r="R300" i="6" s="1"/>
  <c r="R301" i="6" s="1"/>
  <c r="R302" i="6" s="1"/>
  <c r="R303" i="6" s="1"/>
  <c r="R304" i="6" s="1"/>
  <c r="R305" i="6" s="1"/>
  <c r="R306" i="6" s="1"/>
  <c r="R307" i="6" s="1"/>
  <c r="R308" i="6" s="1"/>
  <c r="R309" i="6" s="1"/>
  <c r="R310" i="6" s="1"/>
  <c r="R311" i="6" s="1"/>
  <c r="M313" i="6"/>
  <c r="Q314" i="6"/>
  <c r="B268" i="6"/>
  <c r="R268" i="6" s="1"/>
  <c r="R269" i="6" s="1"/>
  <c r="R270" i="6" s="1"/>
  <c r="R271" i="6" s="1"/>
  <c r="R272" i="6" s="1"/>
  <c r="R273" i="6" s="1"/>
  <c r="R274" i="6" s="1"/>
  <c r="R275" i="6" s="1"/>
  <c r="R276" i="6" s="1"/>
  <c r="R277" i="6" s="1"/>
  <c r="R278" i="6" s="1"/>
  <c r="R279" i="6" s="1"/>
  <c r="R280" i="6" s="1"/>
  <c r="R281" i="6" s="1"/>
  <c r="R282" i="6" s="1"/>
  <c r="R283" i="6" s="1"/>
  <c r="R284" i="6" s="1"/>
  <c r="R285" i="6" s="1"/>
  <c r="R286" i="6" s="1"/>
  <c r="R287" i="6" s="1"/>
  <c r="M289" i="6"/>
  <c r="Q290" i="6"/>
  <c r="B244" i="6"/>
  <c r="R244" i="6" s="1"/>
  <c r="R245" i="6" s="1"/>
  <c r="R246" i="6" s="1"/>
  <c r="R247" i="6" s="1"/>
  <c r="R248" i="6" s="1"/>
  <c r="R249" i="6" s="1"/>
  <c r="R250" i="6" s="1"/>
  <c r="R251" i="6" s="1"/>
  <c r="R252" i="6" s="1"/>
  <c r="R253" i="6" s="1"/>
  <c r="R254" i="6" s="1"/>
  <c r="R255" i="6" s="1"/>
  <c r="R256" i="6" s="1"/>
  <c r="R257" i="6" s="1"/>
  <c r="R258" i="6" s="1"/>
  <c r="R259" i="6" s="1"/>
  <c r="R260" i="6" s="1"/>
  <c r="R261" i="6" s="1"/>
  <c r="R262" i="6" s="1"/>
  <c r="R263" i="6" s="1"/>
  <c r="B220" i="6"/>
  <c r="R220" i="6" s="1"/>
  <c r="R221" i="6" s="1"/>
  <c r="R222" i="6" s="1"/>
  <c r="R223" i="6" s="1"/>
  <c r="R224" i="6" s="1"/>
  <c r="R225" i="6" s="1"/>
  <c r="R226" i="6" s="1"/>
  <c r="R227" i="6" s="1"/>
  <c r="R228" i="6" s="1"/>
  <c r="R229" i="6" s="1"/>
  <c r="R230" i="6" s="1"/>
  <c r="R231" i="6" s="1"/>
  <c r="R232" i="6" s="1"/>
  <c r="R233" i="6" s="1"/>
  <c r="R234" i="6" s="1"/>
  <c r="R235" i="6" s="1"/>
  <c r="R236" i="6" s="1"/>
  <c r="R237" i="6" s="1"/>
  <c r="R238" i="6" s="1"/>
  <c r="R239" i="6" s="1"/>
  <c r="B196" i="6"/>
  <c r="B172" i="6"/>
  <c r="B148" i="6"/>
  <c r="R148" i="6" s="1"/>
  <c r="R149" i="6" s="1"/>
  <c r="R150" i="6" s="1"/>
  <c r="R151" i="6" s="1"/>
  <c r="R152" i="6" s="1"/>
  <c r="R153" i="6" s="1"/>
  <c r="R154" i="6" s="1"/>
  <c r="R155" i="6" s="1"/>
  <c r="R156" i="6" s="1"/>
  <c r="R157" i="6" s="1"/>
  <c r="R158" i="6" s="1"/>
  <c r="R159" i="6" s="1"/>
  <c r="R160" i="6" s="1"/>
  <c r="R161" i="6" s="1"/>
  <c r="R162" i="6" s="1"/>
  <c r="R163" i="6" s="1"/>
  <c r="R164" i="6" s="1"/>
  <c r="R165" i="6" s="1"/>
  <c r="R166" i="6" s="1"/>
  <c r="R167" i="6" s="1"/>
  <c r="M265" i="6"/>
  <c r="Q266" i="6"/>
  <c r="M241" i="6"/>
  <c r="Q242" i="6"/>
  <c r="M217" i="6"/>
  <c r="Q218" i="6"/>
  <c r="R196" i="6"/>
  <c r="R197" i="6" s="1"/>
  <c r="R198" i="6" s="1"/>
  <c r="R199" i="6" s="1"/>
  <c r="R200" i="6" s="1"/>
  <c r="R201" i="6" s="1"/>
  <c r="R202" i="6" s="1"/>
  <c r="R203" i="6" s="1"/>
  <c r="R204" i="6" s="1"/>
  <c r="R205" i="6" s="1"/>
  <c r="R206" i="6" s="1"/>
  <c r="R207" i="6" s="1"/>
  <c r="R208" i="6" s="1"/>
  <c r="R209" i="6" s="1"/>
  <c r="R210" i="6" s="1"/>
  <c r="R211" i="6" s="1"/>
  <c r="R212" i="6" s="1"/>
  <c r="R213" i="6" s="1"/>
  <c r="R214" i="6" s="1"/>
  <c r="R215" i="6" s="1"/>
  <c r="M193" i="6"/>
  <c r="Q194" i="6"/>
  <c r="R172" i="6"/>
  <c r="R173" i="6" s="1"/>
  <c r="R174" i="6" s="1"/>
  <c r="R175" i="6" s="1"/>
  <c r="R176" i="6" s="1"/>
  <c r="R177" i="6" s="1"/>
  <c r="R178" i="6" s="1"/>
  <c r="R179" i="6" s="1"/>
  <c r="R180" i="6" s="1"/>
  <c r="R181" i="6" s="1"/>
  <c r="R182" i="6" s="1"/>
  <c r="R183" i="6" s="1"/>
  <c r="R184" i="6" s="1"/>
  <c r="R185" i="6" s="1"/>
  <c r="R186" i="6" s="1"/>
  <c r="R187" i="6" s="1"/>
  <c r="R188" i="6" s="1"/>
  <c r="R189" i="6" s="1"/>
  <c r="R190" i="6" s="1"/>
  <c r="R191" i="6" s="1"/>
  <c r="M169" i="6"/>
  <c r="Q170" i="6"/>
  <c r="B124" i="6" l="1"/>
  <c r="B100" i="6"/>
  <c r="M145" i="6"/>
  <c r="Q146" i="6"/>
  <c r="R124" i="6"/>
  <c r="R125" i="6" s="1"/>
  <c r="R126" i="6" s="1"/>
  <c r="R127" i="6" s="1"/>
  <c r="R128" i="6" s="1"/>
  <c r="R129" i="6" s="1"/>
  <c r="R130" i="6" s="1"/>
  <c r="R131" i="6" s="1"/>
  <c r="R132" i="6" s="1"/>
  <c r="R133" i="6" s="1"/>
  <c r="R134" i="6" s="1"/>
  <c r="R135" i="6" s="1"/>
  <c r="R136" i="6" s="1"/>
  <c r="R137" i="6" s="1"/>
  <c r="R138" i="6" s="1"/>
  <c r="R139" i="6" s="1"/>
  <c r="R140" i="6" s="1"/>
  <c r="R141" i="6" s="1"/>
  <c r="R142" i="6" s="1"/>
  <c r="R143" i="6" s="1"/>
  <c r="M121" i="6"/>
  <c r="Q122" i="6"/>
  <c r="R100" i="6"/>
  <c r="R101" i="6" s="1"/>
  <c r="R102" i="6" s="1"/>
  <c r="R103" i="6" s="1"/>
  <c r="R104" i="6" s="1"/>
  <c r="R105" i="6" s="1"/>
  <c r="R106" i="6" s="1"/>
  <c r="R107" i="6" s="1"/>
  <c r="R108" i="6" s="1"/>
  <c r="R109" i="6" s="1"/>
  <c r="R110" i="6" s="1"/>
  <c r="R111" i="6" s="1"/>
  <c r="R112" i="6" s="1"/>
  <c r="R113" i="6" s="1"/>
  <c r="R114" i="6" s="1"/>
  <c r="R115" i="6" s="1"/>
  <c r="R116" i="6" s="1"/>
  <c r="R117" i="6" s="1"/>
  <c r="R118" i="6" s="1"/>
  <c r="R119" i="6" s="1"/>
  <c r="B76" i="6"/>
  <c r="M97" i="6" l="1"/>
  <c r="Q98" i="6"/>
  <c r="R76" i="6"/>
  <c r="R77" i="6" s="1"/>
  <c r="R78" i="6" s="1"/>
  <c r="R79" i="6" s="1"/>
  <c r="R80" i="6" s="1"/>
  <c r="R81" i="6" s="1"/>
  <c r="R82" i="6" s="1"/>
  <c r="R83" i="6" s="1"/>
  <c r="R84" i="6" s="1"/>
  <c r="R85" i="6" s="1"/>
  <c r="R86" i="6" s="1"/>
  <c r="R87" i="6" s="1"/>
  <c r="R88" i="6" s="1"/>
  <c r="R89" i="6" s="1"/>
  <c r="R90" i="6" s="1"/>
  <c r="R91" i="6" s="1"/>
  <c r="R92" i="6" s="1"/>
  <c r="R93" i="6" s="1"/>
  <c r="R94" i="6" s="1"/>
  <c r="R95" i="6" s="1"/>
  <c r="M73" i="6"/>
  <c r="B52" i="6"/>
  <c r="R52" i="6" s="1"/>
  <c r="R53" i="6" s="1"/>
  <c r="Q74" i="6" l="1"/>
  <c r="R54" i="6"/>
  <c r="R55" i="6" s="1"/>
  <c r="R56" i="6" s="1"/>
  <c r="R57" i="6" s="1"/>
  <c r="R58" i="6" s="1"/>
  <c r="R59" i="6" s="1"/>
  <c r="R60" i="6" s="1"/>
  <c r="R61" i="6" s="1"/>
  <c r="R62" i="6" s="1"/>
  <c r="R63" i="6" s="1"/>
  <c r="R64" i="6" s="1"/>
  <c r="R65" i="6" s="1"/>
  <c r="R66" i="6" s="1"/>
  <c r="R67" i="6" s="1"/>
  <c r="R68" i="6" s="1"/>
  <c r="R69" i="6" s="1"/>
  <c r="R70" i="6" s="1"/>
  <c r="R71" i="6" s="1"/>
  <c r="CB39" i="4" l="1"/>
  <c r="F12" i="4" l="1"/>
  <c r="F11" i="4"/>
  <c r="F10" i="4"/>
  <c r="F9" i="4"/>
  <c r="F8" i="4"/>
  <c r="F7" i="4"/>
  <c r="F6" i="4"/>
  <c r="AA3" i="4"/>
  <c r="AG3" i="4"/>
  <c r="AE3" i="4"/>
  <c r="AK12" i="4"/>
  <c r="AK9" i="4"/>
  <c r="AG7" i="4"/>
  <c r="AA8" i="4"/>
  <c r="AC9" i="4"/>
  <c r="AA11" i="4"/>
  <c r="AE7" i="4"/>
  <c r="AG12" i="4"/>
  <c r="AI12" i="4"/>
  <c r="AK8" i="4"/>
  <c r="AG10" i="4"/>
  <c r="AI10" i="4"/>
  <c r="AI9" i="4"/>
  <c r="AK11" i="4"/>
  <c r="AG11" i="4"/>
  <c r="AI7" i="4"/>
  <c r="AG6" i="4"/>
  <c r="AI6" i="4"/>
  <c r="AE12" i="4"/>
  <c r="AA12" i="4"/>
  <c r="AC8" i="4"/>
  <c r="AE10" i="4"/>
  <c r="AA10" i="4"/>
  <c r="AA9" i="4"/>
  <c r="AC11" i="4"/>
  <c r="AE11" i="4"/>
  <c r="AA7" i="4"/>
  <c r="AE6" i="4"/>
  <c r="AA6" i="4"/>
  <c r="AG8" i="4"/>
  <c r="AI8" i="4"/>
  <c r="AK10" i="4"/>
  <c r="AG9" i="4"/>
  <c r="AI11" i="4"/>
  <c r="AK7" i="4"/>
  <c r="AK6" i="4"/>
  <c r="AC12" i="4"/>
  <c r="AE8" i="4"/>
  <c r="AC10" i="4"/>
  <c r="AE9" i="4"/>
  <c r="AC7" i="4"/>
  <c r="AC6" i="4"/>
  <c r="AI14" i="4" l="1"/>
  <c r="AC14" i="4"/>
  <c r="AK14" i="4"/>
  <c r="AA14" i="4"/>
  <c r="AE14" i="4"/>
  <c r="AG14" i="4"/>
  <c r="B28" i="6"/>
  <c r="AG32" i="12" l="1"/>
  <c r="Z32" i="12"/>
  <c r="V32" i="12"/>
  <c r="AG31" i="12"/>
  <c r="Z31" i="12"/>
  <c r="V31" i="12"/>
  <c r="AW30" i="12"/>
  <c r="AG30" i="12"/>
  <c r="Z30" i="12"/>
  <c r="V30" i="12"/>
  <c r="AG29" i="12"/>
  <c r="Z29" i="12"/>
  <c r="V29" i="12"/>
  <c r="BC28" i="12"/>
  <c r="AW28" i="12"/>
  <c r="AG28" i="12"/>
  <c r="Z28" i="12"/>
  <c r="V28" i="12"/>
  <c r="AI27" i="12"/>
  <c r="AG27" i="12"/>
  <c r="Z27" i="12"/>
  <c r="V27" i="12"/>
  <c r="AI24" i="12"/>
  <c r="AI22" i="12"/>
  <c r="F7" i="12"/>
  <c r="F6" i="12"/>
  <c r="M49" i="6"/>
  <c r="Q50" i="6"/>
  <c r="R28" i="6"/>
  <c r="R29" i="6" s="1"/>
  <c r="R30" i="6" s="1"/>
  <c r="R31" i="6" s="1"/>
  <c r="R32" i="6" s="1"/>
  <c r="R33" i="6" s="1"/>
  <c r="R34" i="6" s="1"/>
  <c r="R35" i="6" s="1"/>
  <c r="R36" i="6" s="1"/>
  <c r="R37" i="6" s="1"/>
  <c r="R38" i="6" s="1"/>
  <c r="R39" i="6" s="1"/>
  <c r="R40" i="6" s="1"/>
  <c r="R41" i="6" s="1"/>
  <c r="R42" i="6" s="1"/>
  <c r="R43" i="6" s="1"/>
  <c r="R44" i="6" s="1"/>
  <c r="R45" i="6" s="1"/>
  <c r="R46" i="6" s="1"/>
  <c r="R47" i="6" s="1"/>
  <c r="B4" i="6"/>
  <c r="AK7" i="12"/>
  <c r="AK6" i="12"/>
  <c r="AG6" i="12"/>
  <c r="AI7" i="12"/>
  <c r="BA7" i="4"/>
  <c r="BC9" i="4"/>
  <c r="AM9" i="4"/>
  <c r="AQ7" i="4"/>
  <c r="AY8" i="4"/>
  <c r="AQ8" i="4"/>
  <c r="AS7" i="4"/>
  <c r="AY6" i="4"/>
  <c r="AU6" i="4"/>
  <c r="BK6" i="4"/>
  <c r="BE9" i="4"/>
  <c r="BI9" i="4"/>
  <c r="AM7" i="4"/>
  <c r="BK8" i="4"/>
  <c r="BI12" i="4"/>
  <c r="AO12" i="4"/>
  <c r="AY12" i="4"/>
  <c r="BI11" i="4"/>
  <c r="BE11" i="4"/>
  <c r="AU11" i="4"/>
  <c r="AM10" i="4"/>
  <c r="BI10" i="4"/>
  <c r="AW10" i="4"/>
  <c r="BA10" i="4"/>
  <c r="AW8" i="4"/>
  <c r="AO8" i="4"/>
  <c r="AO9" i="4"/>
  <c r="AY7" i="4"/>
  <c r="AW7" i="4"/>
  <c r="BE7" i="4"/>
  <c r="AU8" i="4"/>
  <c r="BI7" i="4"/>
  <c r="AW6" i="4"/>
  <c r="BG8" i="4"/>
  <c r="AQ6" i="4"/>
  <c r="AM8" i="4"/>
  <c r="AQ9" i="4"/>
  <c r="BG12" i="4"/>
  <c r="AS12" i="4"/>
  <c r="AW12" i="4"/>
  <c r="AO11" i="4"/>
  <c r="AW11" i="4"/>
  <c r="AM11" i="4"/>
  <c r="AY10" i="4"/>
  <c r="BG10" i="4"/>
  <c r="BK10" i="4"/>
  <c r="BC10" i="4"/>
  <c r="AS10" i="4"/>
  <c r="AW9" i="4"/>
  <c r="AU9" i="4"/>
  <c r="AS6" i="4"/>
  <c r="AS9" i="4"/>
  <c r="BG6" i="4"/>
  <c r="BE6" i="4"/>
  <c r="AU12" i="4"/>
  <c r="BA12" i="4"/>
  <c r="BK11" i="4"/>
  <c r="AY11" i="4"/>
  <c r="AQ10" i="4"/>
  <c r="BE10" i="4"/>
  <c r="AO6" i="4"/>
  <c r="BE8" i="4"/>
  <c r="BI8" i="4"/>
  <c r="BI6" i="4"/>
  <c r="BA6" i="4"/>
  <c r="BC7" i="4"/>
  <c r="AU7" i="4"/>
  <c r="AO7" i="4"/>
  <c r="AS8" i="4"/>
  <c r="AM6" i="4"/>
  <c r="BA8" i="4"/>
  <c r="BA9" i="4"/>
  <c r="BG9" i="4"/>
  <c r="BK12" i="4"/>
  <c r="AM12" i="4"/>
  <c r="BE12" i="4"/>
  <c r="BC12" i="4"/>
  <c r="AQ11" i="4"/>
  <c r="AS11" i="4"/>
  <c r="BC11" i="4"/>
  <c r="AO10" i="4"/>
  <c r="BG7" i="4"/>
  <c r="BC6" i="4"/>
  <c r="AY9" i="4"/>
  <c r="BK9" i="4"/>
  <c r="BK7" i="4"/>
  <c r="BC8" i="4"/>
  <c r="AQ12" i="4"/>
  <c r="BA11" i="4"/>
  <c r="BG11" i="4"/>
  <c r="AU10" i="4"/>
  <c r="AQ14" i="4" l="1"/>
  <c r="BE14" i="4"/>
  <c r="AW14" i="4"/>
  <c r="BK14" i="4"/>
  <c r="BG14" i="4"/>
  <c r="AM14" i="4"/>
  <c r="AU14" i="4"/>
  <c r="AY14" i="4"/>
  <c r="AS14" i="4"/>
  <c r="BA14" i="4"/>
  <c r="BI14" i="4"/>
  <c r="BC14" i="4"/>
  <c r="AO14" i="4"/>
  <c r="BV41" i="4"/>
  <c r="BF39" i="4"/>
  <c r="BF40" i="4"/>
  <c r="BF41" i="4"/>
  <c r="BF42" i="4"/>
  <c r="BF43" i="4"/>
  <c r="BF38" i="4"/>
  <c r="AY42" i="4"/>
  <c r="AY43" i="4"/>
  <c r="AU39" i="4"/>
  <c r="AY39" i="4"/>
  <c r="AU40" i="4"/>
  <c r="AY40" i="4"/>
  <c r="AU41" i="4"/>
  <c r="AY41" i="4"/>
  <c r="AU42" i="4"/>
  <c r="AU43" i="4"/>
  <c r="AY38" i="4"/>
  <c r="AU38" i="4"/>
  <c r="BV39" i="4"/>
  <c r="BH38" i="4"/>
  <c r="R4" i="6"/>
  <c r="M25" i="6"/>
  <c r="AA7" i="12"/>
  <c r="AC6" i="12"/>
  <c r="AI6" i="12"/>
  <c r="AG7" i="12"/>
  <c r="AE7" i="12"/>
  <c r="AE6" i="12"/>
  <c r="AA6" i="12"/>
  <c r="AC7" i="12"/>
  <c r="BM14" i="4" l="1"/>
  <c r="R5" i="6"/>
  <c r="R6" i="6" l="1"/>
  <c r="R7" i="6" l="1"/>
  <c r="R8" i="6" l="1"/>
  <c r="R9" i="6" l="1"/>
  <c r="R10" i="6" l="1"/>
  <c r="R11" i="6" l="1"/>
  <c r="R12" i="6" l="1"/>
  <c r="R13" i="6" l="1"/>
  <c r="R14" i="6" l="1"/>
  <c r="R15" i="6" l="1"/>
  <c r="R16" i="6" l="1"/>
  <c r="R17" i="6" l="1"/>
  <c r="R18" i="6" l="1"/>
  <c r="R19" i="6" l="1"/>
  <c r="R20" i="6" l="1"/>
  <c r="R21" i="6" l="1"/>
  <c r="R22" i="6" l="1"/>
  <c r="R23" i="6" l="1"/>
</calcChain>
</file>

<file path=xl/comments1.xml><?xml version="1.0" encoding="utf-8"?>
<comments xmlns="http://schemas.openxmlformats.org/spreadsheetml/2006/main">
  <authors>
    <author>romanov_v</author>
  </authors>
  <commentList>
    <comment ref="F6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Ячейка должна быть равна, соответствующей ячейке на листе "Содержание"</t>
        </r>
      </text>
    </comment>
    <comment ref="BH33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Штамп заполняется на листе "Содержание"
</t>
        </r>
      </text>
    </comment>
    <comment ref="BF37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Штам заполняется на листе "Содержание"
</t>
        </r>
      </text>
    </comment>
    <comment ref="AY41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Штам заполняется на листе "Содержание"
</t>
        </r>
      </text>
    </comment>
  </commentList>
</comments>
</file>

<file path=xl/comments2.xml><?xml version="1.0" encoding="utf-8"?>
<comments xmlns="http://schemas.openxmlformats.org/spreadsheetml/2006/main">
  <authors>
    <author>romanov_v</author>
  </authors>
  <commentList>
    <comment ref="F6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Ячейка должна быть равна, соответствующей ячейке на листе "Содержание"</t>
        </r>
      </text>
    </comment>
    <comment ref="AI22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Штамп заполняется на листе "Содержание"
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Штам заполняется на листе "Содержание"
</t>
        </r>
      </text>
    </comment>
    <comment ref="Z30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Штам заполняется на листе "Содержание"
</t>
        </r>
      </text>
    </comment>
  </commentList>
</comments>
</file>

<file path=xl/sharedStrings.xml><?xml version="1.0" encoding="utf-8"?>
<sst xmlns="http://schemas.openxmlformats.org/spreadsheetml/2006/main" count="1911" uniqueCount="448">
  <si>
    <t>Марка кабеля по проекту</t>
  </si>
  <si>
    <t>Заводская марка</t>
  </si>
  <si>
    <t>Направление кабеля</t>
  </si>
  <si>
    <t>Примечание</t>
  </si>
  <si>
    <t>Тип</t>
  </si>
  <si>
    <t>Число и сечение жил</t>
  </si>
  <si>
    <t>ВВГ</t>
  </si>
  <si>
    <t>Жилы2</t>
  </si>
  <si>
    <t>Жилы3</t>
  </si>
  <si>
    <t>Жила1</t>
  </si>
  <si>
    <t>Жилы4</t>
  </si>
  <si>
    <t>Жилы5</t>
  </si>
  <si>
    <t>Число жил</t>
  </si>
  <si>
    <t>АВВГнг</t>
  </si>
  <si>
    <t>АВВГнг-LS</t>
  </si>
  <si>
    <t>N поз.</t>
  </si>
  <si>
    <t>Наименование</t>
  </si>
  <si>
    <t>3×95</t>
  </si>
  <si>
    <t>Лист</t>
  </si>
  <si>
    <t>АВВГнг-LS-0,66кВ</t>
  </si>
  <si>
    <t>Монтажная единица</t>
  </si>
  <si>
    <t>Дата</t>
  </si>
  <si>
    <t>Подп.</t>
  </si>
  <si>
    <t>№док.</t>
  </si>
  <si>
    <t>Кол. уч.</t>
  </si>
  <si>
    <t>Изм.</t>
  </si>
  <si>
    <t>Подп. и дата</t>
  </si>
  <si>
    <t>Инв № подл.</t>
  </si>
  <si>
    <t>Взам. инв.№</t>
  </si>
  <si>
    <t>Согласованно</t>
  </si>
  <si>
    <t>Кол.уч.</t>
  </si>
  <si>
    <t>Стадия</t>
  </si>
  <si>
    <t>Листов</t>
  </si>
  <si>
    <t>Содержание</t>
  </si>
  <si>
    <t>№ поз.</t>
  </si>
  <si>
    <t>Наименование монтажной единицы</t>
  </si>
  <si>
    <t>Длинна кабеля по проекту</t>
  </si>
  <si>
    <t>Раздел</t>
  </si>
  <si>
    <t>Длина кабеля по проекту</t>
  </si>
  <si>
    <t>Монтажная единица дублер</t>
  </si>
  <si>
    <t>Общий итог</t>
  </si>
  <si>
    <t>Значения</t>
  </si>
  <si>
    <t>Длинна кабеля</t>
  </si>
  <si>
    <t>Разделок</t>
  </si>
  <si>
    <t>Названия строк</t>
  </si>
  <si>
    <t>5×71</t>
  </si>
  <si>
    <t>5×72</t>
  </si>
  <si>
    <t>Р</t>
  </si>
  <si>
    <t>Журнал силовых кабелей.</t>
  </si>
  <si>
    <t>ГИП</t>
  </si>
  <si>
    <t>Разметка</t>
  </si>
  <si>
    <t>(пусто)</t>
  </si>
  <si>
    <t>Марка монтажной единицы</t>
  </si>
  <si>
    <t>Ввод кабеля</t>
  </si>
  <si>
    <t>Вывод кабеля</t>
  </si>
  <si>
    <t>Названия столбцов</t>
  </si>
  <si>
    <t>Сводная ведомость потребности в силовых кабелях.</t>
  </si>
  <si>
    <t>Разраб.</t>
  </si>
  <si>
    <t>Наружное освещение</t>
  </si>
  <si>
    <t>ВВГнг(А)-LS</t>
  </si>
  <si>
    <t>ВВГнг(А)-FRLS</t>
  </si>
  <si>
    <t>ЩНО1-02</t>
  </si>
  <si>
    <t>ЩНО1-03</t>
  </si>
  <si>
    <t>Силовая сборка ЩНО1</t>
  </si>
  <si>
    <t>Установка трансформаторов собственных нужд</t>
  </si>
  <si>
    <t>TN1-01</t>
  </si>
  <si>
    <t>TN2-01</t>
  </si>
  <si>
    <t>TN1-02</t>
  </si>
  <si>
    <t>TN2-02</t>
  </si>
  <si>
    <t>ЩСН Секция 1 Панель 2</t>
  </si>
  <si>
    <t>ЩСН Секция 2 Панель 4</t>
  </si>
  <si>
    <t>DTCE-30</t>
  </si>
  <si>
    <t>КВВГнг(А)-LS</t>
  </si>
  <si>
    <t>DTIP-18</t>
  </si>
  <si>
    <t>Марка кабеля1 по проекту</t>
  </si>
  <si>
    <t>Итого:</t>
  </si>
  <si>
    <t>Кабельное хозяйство. 
Электротехнические решения.</t>
  </si>
  <si>
    <t>Инв. № подл.</t>
  </si>
  <si>
    <t>ЩНО1-01</t>
  </si>
  <si>
    <t>ЩНО1-02.1</t>
  </si>
  <si>
    <t>ЩНО1-03.1</t>
  </si>
  <si>
    <t>ЩНО1-04</t>
  </si>
  <si>
    <t>ЩНО1-04.1</t>
  </si>
  <si>
    <t>ЩНО1-05</t>
  </si>
  <si>
    <t>ЩНО1-05.1</t>
  </si>
  <si>
    <t>Ввот от ЩСН 5 секция</t>
  </si>
  <si>
    <t>Сборка с рубильником и предохранителем М1</t>
  </si>
  <si>
    <t>Сборка с рубильником и предохранителем М2</t>
  </si>
  <si>
    <t>Сборка с рубильником и предохранителем М3</t>
  </si>
  <si>
    <t>Сборка с рубильником и предохранителем М4</t>
  </si>
  <si>
    <t>Распаячная коробка на мачте</t>
  </si>
  <si>
    <t>ПРА</t>
  </si>
  <si>
    <t>КГН</t>
  </si>
  <si>
    <t>ПРКС</t>
  </si>
  <si>
    <t>Прожектора</t>
  </si>
  <si>
    <t>ПвПу</t>
  </si>
  <si>
    <t>ЗРУ 6 кВ 1 Секция панель 105</t>
  </si>
  <si>
    <t>ЗРУ 6 кВ 2 Секция панель 203</t>
  </si>
  <si>
    <t>ТСН1</t>
  </si>
  <si>
    <t>ТСН2</t>
  </si>
  <si>
    <t>ЗРУ 6 кВ</t>
  </si>
  <si>
    <t>ШС6-01</t>
  </si>
  <si>
    <t>ШС6-02</t>
  </si>
  <si>
    <t>ШС6-03.1</t>
  </si>
  <si>
    <t>ШС6-03.2</t>
  </si>
  <si>
    <t>ШС6-04.2</t>
  </si>
  <si>
    <t>ШС6-05</t>
  </si>
  <si>
    <t>ШС6-06</t>
  </si>
  <si>
    <t>ШС6-07</t>
  </si>
  <si>
    <t>ШС6-08</t>
  </si>
  <si>
    <t>ШС6-09</t>
  </si>
  <si>
    <t>ШС6-10</t>
  </si>
  <si>
    <t>ШС6-11.1</t>
  </si>
  <si>
    <t>ШС6-11.2</t>
  </si>
  <si>
    <t>ШС6-12</t>
  </si>
  <si>
    <t>ЩАО3-01</t>
  </si>
  <si>
    <t>ЩАО3-02</t>
  </si>
  <si>
    <t>Силовая сборка ЩАО3</t>
  </si>
  <si>
    <t>Силовая сборка ШС6</t>
  </si>
  <si>
    <t>ШС6-04.1</t>
  </si>
  <si>
    <t>Ввод от ЩСН секция 1</t>
  </si>
  <si>
    <t>Ввод от ЩСН секция 2</t>
  </si>
  <si>
    <t>Освещение ЗРУ 6 кВ Шлейф 1</t>
  </si>
  <si>
    <t>Освещение ЗРУ 6 кВ Шлейф 2</t>
  </si>
  <si>
    <t>Освещение входов ЗРУ 6 кВ</t>
  </si>
  <si>
    <t>Штепсельная сеть</t>
  </si>
  <si>
    <t>АПОШ Секция 1. Освещение</t>
  </si>
  <si>
    <t>АПОШ Секция 1. Обогрев</t>
  </si>
  <si>
    <t>АПОШ Секция 2. Освещение</t>
  </si>
  <si>
    <t>АПОШ Секция 2. Обогрев</t>
  </si>
  <si>
    <t>Отопление ЗРУ 6 кВ</t>
  </si>
  <si>
    <t>Питание вентилятора В1</t>
  </si>
  <si>
    <t>Ввод от БАО</t>
  </si>
  <si>
    <t>Аварийное освещение ЗРУ 6 кВ</t>
  </si>
  <si>
    <t>Аварийные светильники выход</t>
  </si>
  <si>
    <t>ОПУ совмещенный с КРУЭ. Освещение и штепсельная сеть</t>
  </si>
  <si>
    <t>ЩАО1-01</t>
  </si>
  <si>
    <t>ЩАО1-02</t>
  </si>
  <si>
    <t>ЩАО1-03</t>
  </si>
  <si>
    <t>ЩАО1-04</t>
  </si>
  <si>
    <t>ЩАО1-05</t>
  </si>
  <si>
    <t>ЩАО1-06</t>
  </si>
  <si>
    <t>ЩАО1-07</t>
  </si>
  <si>
    <t>ЩАО2-01</t>
  </si>
  <si>
    <t>ЩАО2-02</t>
  </si>
  <si>
    <t>ЩАО2-03</t>
  </si>
  <si>
    <t>ЩАО2-04</t>
  </si>
  <si>
    <t>БАО</t>
  </si>
  <si>
    <t>ЩО1-01</t>
  </si>
  <si>
    <t>ЩО1-02.1</t>
  </si>
  <si>
    <t>ЩО1-02.2</t>
  </si>
  <si>
    <t>ЩО1-03</t>
  </si>
  <si>
    <t>ЩО1-04.1</t>
  </si>
  <si>
    <t>ЩО1-04.2</t>
  </si>
  <si>
    <t>ЩО1-05</t>
  </si>
  <si>
    <t>ЩО1-06</t>
  </si>
  <si>
    <t>ЩО1-07</t>
  </si>
  <si>
    <t>ЩО2-01</t>
  </si>
  <si>
    <t>ЩО2-02.1</t>
  </si>
  <si>
    <t>ЩО2-02.2</t>
  </si>
  <si>
    <t>ЩО2-03.1</t>
  </si>
  <si>
    <t>ЩО2-03.2</t>
  </si>
  <si>
    <t>ЩО2-04.1</t>
  </si>
  <si>
    <t>ЩО2-04.2</t>
  </si>
  <si>
    <t>ЩО2-05</t>
  </si>
  <si>
    <t>ЩО2-06</t>
  </si>
  <si>
    <t>ЩО2-07</t>
  </si>
  <si>
    <t>ЩО3-01</t>
  </si>
  <si>
    <t>ЩО3-02.1</t>
  </si>
  <si>
    <t>ЩО3-02.2</t>
  </si>
  <si>
    <t>ЩО3-03</t>
  </si>
  <si>
    <t>ЩО3-04</t>
  </si>
  <si>
    <t>ЩО3-05</t>
  </si>
  <si>
    <t>Аварийное освещение</t>
  </si>
  <si>
    <t>Ввот от ЩСН 1 секция 1 панель</t>
  </si>
  <si>
    <t>Светильники</t>
  </si>
  <si>
    <t>Распаяные коробки</t>
  </si>
  <si>
    <t>Штепсельная сеть 1</t>
  </si>
  <si>
    <t>Штепсельная сеть 2</t>
  </si>
  <si>
    <t>Штепсельная сеть 3</t>
  </si>
  <si>
    <t>Освещение</t>
  </si>
  <si>
    <t>Силовая сборка ЩО1</t>
  </si>
  <si>
    <t>Силовая сборка ЩО2</t>
  </si>
  <si>
    <t>Силовая сборка ЩО3</t>
  </si>
  <si>
    <t>Силовая сборка ЩАО1</t>
  </si>
  <si>
    <t>Силовая сборка ЩАО2</t>
  </si>
  <si>
    <t>1х4</t>
  </si>
  <si>
    <t>2х4</t>
  </si>
  <si>
    <t>3х4</t>
  </si>
  <si>
    <t>4х4</t>
  </si>
  <si>
    <t>5х4</t>
  </si>
  <si>
    <t>1х6</t>
  </si>
  <si>
    <t>2х6</t>
  </si>
  <si>
    <t>3х6</t>
  </si>
  <si>
    <t>4х6</t>
  </si>
  <si>
    <t>5х6</t>
  </si>
  <si>
    <t>1х10</t>
  </si>
  <si>
    <t>2х10</t>
  </si>
  <si>
    <t>3х10</t>
  </si>
  <si>
    <t>4х10</t>
  </si>
  <si>
    <t>5х10</t>
  </si>
  <si>
    <t>1х16</t>
  </si>
  <si>
    <t>2х16</t>
  </si>
  <si>
    <t>3х16</t>
  </si>
  <si>
    <t>4х16</t>
  </si>
  <si>
    <t>5х16</t>
  </si>
  <si>
    <t>1х25</t>
  </si>
  <si>
    <t>2х25</t>
  </si>
  <si>
    <t>3х25</t>
  </si>
  <si>
    <t>4х25</t>
  </si>
  <si>
    <t>5х25</t>
  </si>
  <si>
    <t>1х35</t>
  </si>
  <si>
    <t>2х35</t>
  </si>
  <si>
    <t>3х35</t>
  </si>
  <si>
    <t>4х35</t>
  </si>
  <si>
    <t>5х35</t>
  </si>
  <si>
    <t>1х50</t>
  </si>
  <si>
    <t>2х50</t>
  </si>
  <si>
    <t>3х50</t>
  </si>
  <si>
    <t>4х50</t>
  </si>
  <si>
    <t>5х50</t>
  </si>
  <si>
    <t>1х70</t>
  </si>
  <si>
    <t>2х70</t>
  </si>
  <si>
    <t>3х70</t>
  </si>
  <si>
    <t>4х70</t>
  </si>
  <si>
    <t>5х70</t>
  </si>
  <si>
    <t>1х95</t>
  </si>
  <si>
    <t>2х95</t>
  </si>
  <si>
    <t>3х95</t>
  </si>
  <si>
    <t>4х95</t>
  </si>
  <si>
    <t>5х95</t>
  </si>
  <si>
    <t>1х120</t>
  </si>
  <si>
    <t>2х120</t>
  </si>
  <si>
    <t>3х95/25</t>
  </si>
  <si>
    <t>4х120</t>
  </si>
  <si>
    <t>1х150</t>
  </si>
  <si>
    <t>2х150</t>
  </si>
  <si>
    <t>3х95/50-6кВ</t>
  </si>
  <si>
    <t>4х150</t>
  </si>
  <si>
    <t>1х185</t>
  </si>
  <si>
    <t>4х240</t>
  </si>
  <si>
    <t>1х240</t>
  </si>
  <si>
    <t>3х1,5</t>
  </si>
  <si>
    <t>5х1,5</t>
  </si>
  <si>
    <t>3х2,5</t>
  </si>
  <si>
    <t>5х2,5</t>
  </si>
  <si>
    <t>ОПУ совмещенный с КРУЭ. Силовая сеть</t>
  </si>
  <si>
    <t>DQAVR-01</t>
  </si>
  <si>
    <t>DQAVR-02</t>
  </si>
  <si>
    <t>АСТУ-01</t>
  </si>
  <si>
    <t>АСТУ-02</t>
  </si>
  <si>
    <t>ДГР-01</t>
  </si>
  <si>
    <t>ДГР-02</t>
  </si>
  <si>
    <t>ЗУ-01</t>
  </si>
  <si>
    <t>ЗУ-02</t>
  </si>
  <si>
    <t>РЗА-01</t>
  </si>
  <si>
    <t>РЗА-02</t>
  </si>
  <si>
    <t>Т1-01</t>
  </si>
  <si>
    <t>Т1-02</t>
  </si>
  <si>
    <t>Т1-03</t>
  </si>
  <si>
    <t>Т2-01</t>
  </si>
  <si>
    <t>Т2-02</t>
  </si>
  <si>
    <t>Т2-03</t>
  </si>
  <si>
    <t>Т4-01</t>
  </si>
  <si>
    <t>Т4-02</t>
  </si>
  <si>
    <t>Т4-03</t>
  </si>
  <si>
    <t>ЩСН Секция 1 Панель 1</t>
  </si>
  <si>
    <t>Шкаф DQAVR. Ввод 1</t>
  </si>
  <si>
    <t>ЩСН Секция 2 Панель 5</t>
  </si>
  <si>
    <t>Шкаф DQAVR. Ввод 2</t>
  </si>
  <si>
    <t>АСТУ и ТМ. Шкаф №34. Ввод 1</t>
  </si>
  <si>
    <t>АСТУ и ТМ. Шкаф №34. Ввод 2</t>
  </si>
  <si>
    <t>ЗУ1</t>
  </si>
  <si>
    <t>ЗУ2</t>
  </si>
  <si>
    <t>Питание панелей РЗА. Ввод 1</t>
  </si>
  <si>
    <t>Питание панеле1 РЗА. Ввод 2</t>
  </si>
  <si>
    <t>Обдувка трансформатора Т1. Ввод 1</t>
  </si>
  <si>
    <t>Обдувка трансформатора Т1. Ввод 2</t>
  </si>
  <si>
    <t>АРКТ Т1. Шкаф №24</t>
  </si>
  <si>
    <t>Обдувка трансформатора Т2. Ввод 1</t>
  </si>
  <si>
    <t>Обдувка трансформатора Т2. Ввод 2</t>
  </si>
  <si>
    <t>АРКТ Т2. Шкаф №24</t>
  </si>
  <si>
    <t>Обдувка трансформатора Т4. Ввод 1</t>
  </si>
  <si>
    <t>Обдувка трансформатора Т4. Ввод 2</t>
  </si>
  <si>
    <t>АРКТ Т4. Шкаф №26</t>
  </si>
  <si>
    <t>ППУ-01</t>
  </si>
  <si>
    <t>ППУ-02</t>
  </si>
  <si>
    <t>ППУ-03</t>
  </si>
  <si>
    <t>ТСО-01</t>
  </si>
  <si>
    <t>ТСО-02</t>
  </si>
  <si>
    <t>ШОВ1-01</t>
  </si>
  <si>
    <t>ШОВ1-02.1</t>
  </si>
  <si>
    <t>ШОВ1-02.2</t>
  </si>
  <si>
    <t>ШОВ1-03.1</t>
  </si>
  <si>
    <t>ШОВ1-03.2</t>
  </si>
  <si>
    <t>ШОВ1-04</t>
  </si>
  <si>
    <t>ШОВ1-05</t>
  </si>
  <si>
    <t>ШОВ1-06</t>
  </si>
  <si>
    <t>ШОВ1-07</t>
  </si>
  <si>
    <t>ШОВ2-01</t>
  </si>
  <si>
    <t xml:space="preserve">ШОВ2-02 </t>
  </si>
  <si>
    <t xml:space="preserve">ШОВ2-03 </t>
  </si>
  <si>
    <t xml:space="preserve">ШОВ2-04 </t>
  </si>
  <si>
    <t xml:space="preserve">ШОВ2-05 </t>
  </si>
  <si>
    <t xml:space="preserve">ШОВ2-06 </t>
  </si>
  <si>
    <t>ШОВ2-07</t>
  </si>
  <si>
    <t>ШОВ2-08.1</t>
  </si>
  <si>
    <t>ШОВ2-08.2</t>
  </si>
  <si>
    <t>ШОВ2-09</t>
  </si>
  <si>
    <t>ШОВ3-01</t>
  </si>
  <si>
    <t>ШОВ3-02.1</t>
  </si>
  <si>
    <t>ШОВ3-02.2</t>
  </si>
  <si>
    <t>ШОВ3-03.1</t>
  </si>
  <si>
    <t>ШОВ3-03.2</t>
  </si>
  <si>
    <t>ШОВ3-04</t>
  </si>
  <si>
    <t>ШОВ3-06</t>
  </si>
  <si>
    <t>ШС11-01</t>
  </si>
  <si>
    <t>ШС12-01</t>
  </si>
  <si>
    <t>ШС13-01</t>
  </si>
  <si>
    <t>ШС14-01</t>
  </si>
  <si>
    <t>ШС15-01</t>
  </si>
  <si>
    <t>ШС16-01</t>
  </si>
  <si>
    <t>ШС17-01</t>
  </si>
  <si>
    <t>ШС18-01</t>
  </si>
  <si>
    <t>ШС19-01</t>
  </si>
  <si>
    <t>ШС20-01</t>
  </si>
  <si>
    <t>ШС20-02</t>
  </si>
  <si>
    <t>ШС31-01</t>
  </si>
  <si>
    <t>ШС31-02</t>
  </si>
  <si>
    <t>ШС31-03</t>
  </si>
  <si>
    <t>ШС31-04</t>
  </si>
  <si>
    <t>ШС31-05</t>
  </si>
  <si>
    <t>ШС32-01</t>
  </si>
  <si>
    <t>ШС32-02</t>
  </si>
  <si>
    <t>ШС32-03</t>
  </si>
  <si>
    <t>ШС32-04</t>
  </si>
  <si>
    <t>ШС32-05</t>
  </si>
  <si>
    <t>ШС41-01</t>
  </si>
  <si>
    <t>ШС42-01</t>
  </si>
  <si>
    <t>ШС43-01</t>
  </si>
  <si>
    <t>ШС44-01</t>
  </si>
  <si>
    <t>ШС45-01</t>
  </si>
  <si>
    <t>ШС46-01</t>
  </si>
  <si>
    <t>ШС47-01</t>
  </si>
  <si>
    <t>ППУ. Ввод 1</t>
  </si>
  <si>
    <t>ППУ. Ввод 2</t>
  </si>
  <si>
    <t>ППУ</t>
  </si>
  <si>
    <t>Питание шкафа БАО</t>
  </si>
  <si>
    <t>ТСО. Оборудование связи. Ввод 1</t>
  </si>
  <si>
    <t>ТСО. Оборудование связи. Ввод 2</t>
  </si>
  <si>
    <t>Отопление помещений 103, 105, 108, 112</t>
  </si>
  <si>
    <t>Отопление помещений 106, 108, 113, 114</t>
  </si>
  <si>
    <t>Сплит система помещения связи (К1)</t>
  </si>
  <si>
    <t>Сплит система помещения связи (К1а)</t>
  </si>
  <si>
    <t>Сплит система помещения ЩПТ (К2)</t>
  </si>
  <si>
    <t>Сплит система помещения ЩСН (К3)</t>
  </si>
  <si>
    <t>Сплит система помещения РЗА (К5)</t>
  </si>
  <si>
    <t>Сплит система помещения РЗА (К5а)</t>
  </si>
  <si>
    <t>Питание вентиляции П1</t>
  </si>
  <si>
    <t>Питание вентиляции В1, В1а</t>
  </si>
  <si>
    <t>Сплит система помещения АРМ (К4)</t>
  </si>
  <si>
    <t>Отопление помещения АРМ (203)</t>
  </si>
  <si>
    <t>Отопление помещения РЗА (205)</t>
  </si>
  <si>
    <t>Отопление Вентамер (201, 202)</t>
  </si>
  <si>
    <t>Отопление помещения КРУЭ 101. Шлейф 1</t>
  </si>
  <si>
    <t>Отопление помещения КРУЭ 101. Шлейф 2</t>
  </si>
  <si>
    <t>Отопление помещения КРУЭ 101. Шлейф 3</t>
  </si>
  <si>
    <t>Питание вентиляции В2, В3</t>
  </si>
  <si>
    <t>Питание двигателя ЗОН1</t>
  </si>
  <si>
    <t>Питание двигателя ЗОН2</t>
  </si>
  <si>
    <t>Обогрев шкафа ЗОН1</t>
  </si>
  <si>
    <t>Обогрев шкафа ЗОН2</t>
  </si>
  <si>
    <t>Питание двигателя разъединителя плавки гололеда 1</t>
  </si>
  <si>
    <t>Питание двигателя разъединителя плавки гололеда 2</t>
  </si>
  <si>
    <t>Обогрев двигателя разъединителя плавки гололеда 1</t>
  </si>
  <si>
    <t>Обогрев двигателя разъединителя плавки гололеда 2</t>
  </si>
  <si>
    <t>Силовая сборка ШОВ1</t>
  </si>
  <si>
    <t>Силовая сборка ШОВ2</t>
  </si>
  <si>
    <t>Силовая сборка ШОВ3</t>
  </si>
  <si>
    <t>Распаячная коробка</t>
  </si>
  <si>
    <t>Силовая сборка 11</t>
  </si>
  <si>
    <t>Силовая сборка 12</t>
  </si>
  <si>
    <t>Силовая сборка 13</t>
  </si>
  <si>
    <t>Силовая сборка 14</t>
  </si>
  <si>
    <t>Силовая сборка 15</t>
  </si>
  <si>
    <t>Силовая сборка 16</t>
  </si>
  <si>
    <t>Силовая сборка 17</t>
  </si>
  <si>
    <t>Силовая сборка 18</t>
  </si>
  <si>
    <t>Силовая сборка 19</t>
  </si>
  <si>
    <t>Силовая сборка 20</t>
  </si>
  <si>
    <t>Силовая сборка 31</t>
  </si>
  <si>
    <t>Силовая сборка 32</t>
  </si>
  <si>
    <t>Шкаф сварочной сети 41</t>
  </si>
  <si>
    <t>Шкаф сварочной сети 42</t>
  </si>
  <si>
    <t>Шкаф сварочной сети 43</t>
  </si>
  <si>
    <t>Шкаф сварочной сети 44</t>
  </si>
  <si>
    <t>Шкаф сварочной сети 45</t>
  </si>
  <si>
    <t>Шкаф сварочной сети 46</t>
  </si>
  <si>
    <t>Шкаф сварочной сети 47</t>
  </si>
  <si>
    <t>ОПУ совмещенный с КРУЭ. Крановое оборудование</t>
  </si>
  <si>
    <t>КО1-02</t>
  </si>
  <si>
    <t>Шкаф силовой КО1</t>
  </si>
  <si>
    <t>КО1-03</t>
  </si>
  <si>
    <t>КО1-04</t>
  </si>
  <si>
    <t>Силовая сборка КО2</t>
  </si>
  <si>
    <t>Силовая сборка КО3</t>
  </si>
  <si>
    <t>ОПУ совмещенный с КРУЭ. Обогрев кровли</t>
  </si>
  <si>
    <t>ШС2-01</t>
  </si>
  <si>
    <t>ШС2-02</t>
  </si>
  <si>
    <t>ШС2-03</t>
  </si>
  <si>
    <t>ШС2-04</t>
  </si>
  <si>
    <t>ШС2-05</t>
  </si>
  <si>
    <t>Силовая сборка ШС2</t>
  </si>
  <si>
    <t>Обогрев зоны В-7</t>
  </si>
  <si>
    <t>Обогрев зоны В-11</t>
  </si>
  <si>
    <t>Обогрев зоны А-7</t>
  </si>
  <si>
    <t>Обогрев зоны А-11</t>
  </si>
  <si>
    <t>1х1,5</t>
  </si>
  <si>
    <t>2х1,5</t>
  </si>
  <si>
    <t>4х1,5</t>
  </si>
  <si>
    <t>1х2,5</t>
  </si>
  <si>
    <t>2х2,5</t>
  </si>
  <si>
    <t>4х2,5</t>
  </si>
  <si>
    <t>6-8</t>
  </si>
  <si>
    <t>16</t>
  </si>
  <si>
    <t>9-13</t>
  </si>
  <si>
    <t>14</t>
  </si>
  <si>
    <t>15</t>
  </si>
  <si>
    <t>Установка дугогасящих реакторов.</t>
  </si>
  <si>
    <t>ЗРУ 6 кВ. Ячейка №104</t>
  </si>
  <si>
    <t>ЗРУ 6 кВ. Ячейка №202</t>
  </si>
  <si>
    <t>ФМЗО-01</t>
  </si>
  <si>
    <t>ФМЗО-02</t>
  </si>
  <si>
    <t>Фильтр присоединения ФМЗО1</t>
  </si>
  <si>
    <t>Фильтр присоединения ФМЗО2</t>
  </si>
  <si>
    <t>29-КМЧ-2015-027-ЭП.С</t>
  </si>
  <si>
    <t>Выполнение комплекса работ "под ключ" по обеспечению технологического присоединения объектов шифр 3002/Р "Дооборудование пункта хранения, подготовки и выдачи изделий", шифр 720 "Строительство и реконструкция специальных сооружений в/ч 31268" и Объекты социально-бытового назначения администрации Вилючинского городского округа</t>
  </si>
  <si>
    <t>ООО "Энергетическое Строительство"</t>
  </si>
  <si>
    <t>Кол.уч</t>
  </si>
  <si>
    <t>Романов</t>
  </si>
  <si>
    <t>02.17</t>
  </si>
  <si>
    <t>Проверил</t>
  </si>
  <si>
    <t>Самуйлов</t>
  </si>
  <si>
    <t>Н.контр.</t>
  </si>
  <si>
    <t>Домнин</t>
  </si>
  <si>
    <t>Калабин</t>
  </si>
  <si>
    <t>ДГР. Секция 1. Шкаф №29</t>
  </si>
  <si>
    <t>ДГР. Секция 2. Шкаф №29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</si>
</sst>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\-0;;@"/>
  </numFmts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ISOCPEUR"/>
      <family val="2"/>
      <charset val="204"/>
    </font>
    <font>
      <sz val="8"/>
      <color theme="1"/>
      <name val="ISOCPEUR"/>
      <family val="2"/>
      <charset val="204"/>
    </font>
    <font>
      <sz val="8"/>
      <color theme="1"/>
      <name val="Calibri"/>
      <family val="2"/>
      <charset val="204"/>
      <scheme val="minor"/>
    </font>
    <font>
      <sz val="20"/>
      <color theme="1"/>
      <name val="ISOCPEUR"/>
      <family val="2"/>
      <charset val="204"/>
    </font>
    <font>
      <sz val="12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theme="1"/>
      <name val="ISOCPEUR"/>
      <family val="2"/>
      <charset val="204"/>
    </font>
    <font>
      <sz val="11"/>
      <color rgb="FF000000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9"/>
      <color theme="1"/>
      <name val="ISOCPEUR"/>
      <family val="2"/>
      <charset val="204"/>
    </font>
    <font>
      <sz val="7"/>
      <color theme="1"/>
      <name val="ISOCPEUR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1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</borders>
  <cellStyleXfs count="1">
    <xf numFmtId="0" fontId="0" fillId="0" borderId="0"/>
  </cellStyleXfs>
  <cellXfs count="508">
    <xf numFmtId="0" fontId="0" fillId="0" borderId="0" xfId="0"/>
    <xf numFmtId="16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 wrapText="1"/>
    </xf>
    <xf numFmtId="0" fontId="1" fillId="0" borderId="0" xfId="0" applyFont="1"/>
    <xf numFmtId="0" fontId="1" fillId="0" borderId="0" xfId="0" applyFont="1" applyBorder="1"/>
    <xf numFmtId="0" fontId="1" fillId="0" borderId="0" xfId="0" applyFont="1" applyAlignment="1"/>
    <xf numFmtId="0" fontId="1" fillId="0" borderId="0" xfId="0" applyFont="1" applyAlignment="1">
      <alignment horizontal="center" vertical="center" textRotation="90"/>
    </xf>
    <xf numFmtId="0" fontId="0" fillId="0" borderId="0" xfId="0" applyBorder="1"/>
    <xf numFmtId="0" fontId="0" fillId="0" borderId="0" xfId="0" pivotButton="1"/>
    <xf numFmtId="0" fontId="0" fillId="0" borderId="0" xfId="0" applyNumberFormat="1"/>
    <xf numFmtId="0" fontId="1" fillId="0" borderId="26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vertical="center" wrapText="1"/>
    </xf>
    <xf numFmtId="0" fontId="2" fillId="0" borderId="0" xfId="0" quotePrefix="1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24" xfId="0" applyFont="1" applyBorder="1" applyAlignment="1">
      <alignment wrapText="1"/>
    </xf>
    <xf numFmtId="0" fontId="1" fillId="0" borderId="25" xfId="0" applyFont="1" applyBorder="1" applyAlignment="1">
      <alignment wrapText="1"/>
    </xf>
    <xf numFmtId="0" fontId="1" fillId="0" borderId="1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2" fillId="0" borderId="24" xfId="0" applyFont="1" applyBorder="1" applyAlignment="1">
      <alignment vertical="center" wrapText="1"/>
    </xf>
    <xf numFmtId="0" fontId="3" fillId="0" borderId="0" xfId="0" applyFont="1" applyBorder="1" applyAlignment="1" applyProtection="1">
      <alignment vertical="center" textRotation="90" shrinkToFit="1"/>
    </xf>
    <xf numFmtId="0" fontId="2" fillId="0" borderId="16" xfId="0" applyFont="1" applyBorder="1" applyAlignment="1">
      <alignment horizontal="center" vertical="center" wrapText="1"/>
    </xf>
    <xf numFmtId="0" fontId="1" fillId="0" borderId="48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 wrapText="1"/>
    </xf>
    <xf numFmtId="0" fontId="1" fillId="0" borderId="50" xfId="0" applyFont="1" applyBorder="1" applyAlignment="1">
      <alignment horizontal="center" vertical="center" wrapText="1"/>
    </xf>
    <xf numFmtId="0" fontId="1" fillId="0" borderId="60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 wrapText="1"/>
    </xf>
    <xf numFmtId="0" fontId="1" fillId="0" borderId="63" xfId="0" applyFont="1" applyBorder="1" applyAlignment="1">
      <alignment horizontal="center" vertical="center"/>
    </xf>
    <xf numFmtId="0" fontId="1" fillId="0" borderId="64" xfId="0" applyFont="1" applyBorder="1" applyAlignment="1">
      <alignment horizontal="center" vertical="center"/>
    </xf>
    <xf numFmtId="0" fontId="1" fillId="0" borderId="64" xfId="0" applyFont="1" applyBorder="1" applyAlignment="1">
      <alignment horizontal="center" vertical="center" wrapText="1"/>
    </xf>
    <xf numFmtId="0" fontId="1" fillId="0" borderId="54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 textRotation="90"/>
    </xf>
    <xf numFmtId="0" fontId="1" fillId="0" borderId="55" xfId="0" applyFont="1" applyBorder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" fillId="0" borderId="68" xfId="0" applyFont="1" applyBorder="1" applyAlignment="1">
      <alignment horizontal="center" vertical="center" textRotation="90"/>
    </xf>
    <xf numFmtId="0" fontId="1" fillId="0" borderId="67" xfId="0" applyFont="1" applyBorder="1" applyAlignment="1">
      <alignment horizontal="center" vertical="center" textRotation="90"/>
    </xf>
    <xf numFmtId="0" fontId="1" fillId="0" borderId="66" xfId="0" applyFont="1" applyBorder="1" applyAlignment="1">
      <alignment horizontal="center" vertical="center" textRotation="90"/>
    </xf>
    <xf numFmtId="0" fontId="1" fillId="0" borderId="7" xfId="0" applyFont="1" applyBorder="1"/>
    <xf numFmtId="0" fontId="0" fillId="0" borderId="2" xfId="0" applyBorder="1"/>
    <xf numFmtId="0" fontId="1" fillId="0" borderId="8" xfId="0" applyFont="1" applyBorder="1"/>
    <xf numFmtId="0" fontId="1" fillId="0" borderId="9" xfId="0" applyFont="1" applyBorder="1"/>
    <xf numFmtId="0" fontId="2" fillId="0" borderId="50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87" xfId="0" applyFont="1" applyBorder="1" applyAlignment="1">
      <alignment horizontal="center" vertical="center" wrapText="1"/>
    </xf>
    <xf numFmtId="0" fontId="0" fillId="0" borderId="7" xfId="0" applyBorder="1"/>
    <xf numFmtId="0" fontId="1" fillId="0" borderId="85" xfId="0" applyFont="1" applyBorder="1" applyAlignment="1">
      <alignment horizontal="center" vertical="center" wrapText="1"/>
    </xf>
    <xf numFmtId="0" fontId="1" fillId="0" borderId="84" xfId="0" applyNumberFormat="1" applyFont="1" applyBorder="1" applyAlignment="1">
      <alignment horizontal="center" vertical="center" wrapText="1"/>
    </xf>
    <xf numFmtId="0" fontId="1" fillId="0" borderId="20" xfId="0" applyNumberFormat="1" applyFont="1" applyBorder="1" applyAlignment="1">
      <alignment horizontal="center" vertical="top" wrapText="1"/>
    </xf>
    <xf numFmtId="0" fontId="1" fillId="0" borderId="91" xfId="0" applyFont="1" applyBorder="1" applyAlignment="1">
      <alignment horizontal="center" vertical="center" wrapText="1"/>
    </xf>
    <xf numFmtId="0" fontId="1" fillId="2" borderId="76" xfId="0" applyFont="1" applyFill="1" applyBorder="1" applyAlignment="1">
      <alignment horizontal="center" vertical="center"/>
    </xf>
    <xf numFmtId="0" fontId="1" fillId="0" borderId="7" xfId="0" applyFont="1" applyBorder="1" applyAlignment="1">
      <alignment wrapText="1"/>
    </xf>
    <xf numFmtId="0" fontId="1" fillId="0" borderId="0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84" xfId="0" applyFont="1" applyBorder="1" applyAlignment="1">
      <alignment horizontal="center" vertical="center" wrapText="1"/>
    </xf>
    <xf numFmtId="0" fontId="1" fillId="0" borderId="86" xfId="0" applyFont="1" applyBorder="1" applyAlignment="1">
      <alignment horizontal="center" vertical="center" wrapText="1"/>
    </xf>
    <xf numFmtId="0" fontId="2" fillId="0" borderId="86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/>
    <xf numFmtId="0" fontId="1" fillId="0" borderId="1" xfId="0" applyFont="1" applyBorder="1" applyAlignment="1">
      <alignment horizontal="center" vertical="center"/>
    </xf>
    <xf numFmtId="0" fontId="1" fillId="0" borderId="86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87" xfId="0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0" xfId="0" applyFont="1" applyBorder="1" applyAlignment="1">
      <alignment vertical="top" wrapText="1"/>
    </xf>
    <xf numFmtId="0" fontId="1" fillId="0" borderId="0" xfId="0" applyFont="1" applyBorder="1" applyAlignment="1">
      <alignment vertical="top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98" xfId="0" applyFont="1" applyBorder="1" applyAlignment="1">
      <alignment horizontal="center" vertical="center" wrapText="1"/>
    </xf>
    <xf numFmtId="0" fontId="1" fillId="0" borderId="99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 wrapText="1"/>
    </xf>
    <xf numFmtId="0" fontId="1" fillId="0" borderId="102" xfId="0" applyFont="1" applyBorder="1" applyAlignment="1">
      <alignment horizontal="center" vertical="center"/>
    </xf>
    <xf numFmtId="0" fontId="1" fillId="0" borderId="103" xfId="0" applyFont="1" applyBorder="1" applyAlignment="1">
      <alignment horizontal="center" vertical="center"/>
    </xf>
    <xf numFmtId="0" fontId="1" fillId="0" borderId="103" xfId="0" applyFont="1" applyBorder="1" applyAlignment="1">
      <alignment horizontal="center" vertical="center" wrapText="1"/>
    </xf>
    <xf numFmtId="0" fontId="1" fillId="0" borderId="105" xfId="0" applyFont="1" applyBorder="1" applyAlignment="1">
      <alignment horizontal="center" vertical="center"/>
    </xf>
    <xf numFmtId="0" fontId="1" fillId="0" borderId="106" xfId="0" applyFont="1" applyBorder="1" applyAlignment="1">
      <alignment horizontal="center" vertical="center"/>
    </xf>
    <xf numFmtId="0" fontId="1" fillId="0" borderId="106" xfId="0" applyFont="1" applyBorder="1" applyAlignment="1">
      <alignment horizontal="center" vertical="center" wrapText="1"/>
    </xf>
    <xf numFmtId="0" fontId="11" fillId="0" borderId="103" xfId="0" applyFont="1" applyBorder="1" applyAlignment="1">
      <alignment horizontal="center" vertical="center"/>
    </xf>
    <xf numFmtId="0" fontId="11" fillId="0" borderId="100" xfId="0" applyFont="1" applyBorder="1" applyAlignment="1">
      <alignment horizontal="center" vertical="center"/>
    </xf>
    <xf numFmtId="0" fontId="1" fillId="0" borderId="101" xfId="0" applyFont="1" applyBorder="1" applyAlignment="1">
      <alignment horizontal="center" vertical="center" wrapText="1"/>
    </xf>
    <xf numFmtId="0" fontId="1" fillId="0" borderId="104" xfId="0" applyFont="1" applyBorder="1" applyAlignment="1">
      <alignment horizontal="center" vertical="center" wrapText="1"/>
    </xf>
    <xf numFmtId="0" fontId="1" fillId="0" borderId="107" xfId="0" applyFont="1" applyBorder="1" applyAlignment="1">
      <alignment horizontal="center" vertical="center" wrapText="1"/>
    </xf>
    <xf numFmtId="0" fontId="1" fillId="0" borderId="114" xfId="0" applyFont="1" applyBorder="1" applyAlignment="1">
      <alignment horizontal="center" vertical="center"/>
    </xf>
    <xf numFmtId="0" fontId="1" fillId="0" borderId="115" xfId="0" applyFont="1" applyBorder="1" applyAlignment="1">
      <alignment horizontal="center" vertical="center"/>
    </xf>
    <xf numFmtId="0" fontId="1" fillId="0" borderId="115" xfId="0" applyFont="1" applyBorder="1" applyAlignment="1">
      <alignment horizontal="center" vertical="center" wrapText="1"/>
    </xf>
    <xf numFmtId="0" fontId="1" fillId="0" borderId="117" xfId="0" applyFont="1" applyBorder="1" applyAlignment="1">
      <alignment horizontal="center" vertical="center"/>
    </xf>
    <xf numFmtId="0" fontId="1" fillId="0" borderId="118" xfId="0" applyFont="1" applyBorder="1" applyAlignment="1">
      <alignment horizontal="center" vertical="center"/>
    </xf>
    <xf numFmtId="0" fontId="1" fillId="0" borderId="118" xfId="0" applyFont="1" applyBorder="1" applyAlignment="1">
      <alignment horizontal="center" vertical="center" wrapText="1"/>
    </xf>
    <xf numFmtId="0" fontId="1" fillId="0" borderId="120" xfId="0" applyFont="1" applyBorder="1" applyAlignment="1">
      <alignment horizontal="center" vertical="center"/>
    </xf>
    <xf numFmtId="0" fontId="1" fillId="0" borderId="121" xfId="0" applyFont="1" applyBorder="1" applyAlignment="1">
      <alignment horizontal="center" vertical="center"/>
    </xf>
    <xf numFmtId="0" fontId="1" fillId="0" borderId="121" xfId="0" applyFont="1" applyBorder="1" applyAlignment="1">
      <alignment horizontal="center" vertical="center" wrapText="1"/>
    </xf>
    <xf numFmtId="0" fontId="2" fillId="0" borderId="10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116" xfId="0" applyFont="1" applyBorder="1" applyAlignment="1">
      <alignment horizontal="center" vertical="center" wrapText="1"/>
    </xf>
    <xf numFmtId="0" fontId="1" fillId="0" borderId="119" xfId="0" applyFont="1" applyBorder="1" applyAlignment="1">
      <alignment horizontal="center" vertical="center" wrapText="1"/>
    </xf>
    <xf numFmtId="0" fontId="1" fillId="0" borderId="122" xfId="0" applyFont="1" applyBorder="1" applyAlignment="1">
      <alignment horizontal="center" vertical="center" wrapText="1"/>
    </xf>
    <xf numFmtId="0" fontId="1" fillId="0" borderId="126" xfId="0" applyFont="1" applyBorder="1" applyAlignment="1">
      <alignment horizontal="center" vertical="center"/>
    </xf>
    <xf numFmtId="0" fontId="1" fillId="0" borderId="127" xfId="0" applyFont="1" applyBorder="1" applyAlignment="1">
      <alignment horizontal="center" vertical="center"/>
    </xf>
    <xf numFmtId="0" fontId="1" fillId="0" borderId="127" xfId="0" applyFont="1" applyBorder="1" applyAlignment="1">
      <alignment horizontal="center" vertical="center" wrapText="1"/>
    </xf>
    <xf numFmtId="0" fontId="1" fillId="0" borderId="129" xfId="0" applyFont="1" applyBorder="1" applyAlignment="1">
      <alignment horizontal="center" vertical="center"/>
    </xf>
    <xf numFmtId="0" fontId="1" fillId="0" borderId="130" xfId="0" applyFont="1" applyBorder="1" applyAlignment="1">
      <alignment horizontal="center" vertical="center"/>
    </xf>
    <xf numFmtId="0" fontId="1" fillId="0" borderId="130" xfId="0" applyFont="1" applyBorder="1" applyAlignment="1">
      <alignment horizontal="center" vertical="center" wrapText="1"/>
    </xf>
    <xf numFmtId="0" fontId="1" fillId="0" borderId="132" xfId="0" applyFont="1" applyBorder="1" applyAlignment="1">
      <alignment horizontal="center" vertical="center"/>
    </xf>
    <xf numFmtId="0" fontId="1" fillId="0" borderId="133" xfId="0" applyFont="1" applyBorder="1" applyAlignment="1">
      <alignment horizontal="center" vertical="center"/>
    </xf>
    <xf numFmtId="0" fontId="1" fillId="0" borderId="133" xfId="0" applyFont="1" applyBorder="1" applyAlignment="1">
      <alignment horizontal="center" vertical="center" wrapText="1"/>
    </xf>
    <xf numFmtId="0" fontId="2" fillId="0" borderId="122" xfId="0" applyFont="1" applyBorder="1" applyAlignment="1">
      <alignment horizontal="center" vertical="center"/>
    </xf>
    <xf numFmtId="0" fontId="11" fillId="0" borderId="127" xfId="0" applyFont="1" applyBorder="1" applyAlignment="1">
      <alignment horizontal="center" vertical="center"/>
    </xf>
    <xf numFmtId="0" fontId="11" fillId="0" borderId="130" xfId="0" applyFont="1" applyBorder="1" applyAlignment="1">
      <alignment horizontal="center" vertical="center"/>
    </xf>
    <xf numFmtId="0" fontId="2" fillId="0" borderId="127" xfId="0" applyFont="1" applyBorder="1" applyAlignment="1">
      <alignment horizontal="center" vertical="center"/>
    </xf>
    <xf numFmtId="0" fontId="2" fillId="0" borderId="130" xfId="0" applyFont="1" applyBorder="1" applyAlignment="1">
      <alignment horizontal="center" vertical="center"/>
    </xf>
    <xf numFmtId="0" fontId="10" fillId="0" borderId="0" xfId="0" applyFont="1" applyBorder="1" applyAlignment="1"/>
    <xf numFmtId="0" fontId="0" fillId="0" borderId="0" xfId="0" applyBorder="1" applyAlignment="1"/>
    <xf numFmtId="0" fontId="1" fillId="0" borderId="139" xfId="0" applyFont="1" applyBorder="1" applyAlignment="1">
      <alignment horizontal="center" vertical="center"/>
    </xf>
    <xf numFmtId="0" fontId="1" fillId="0" borderId="138" xfId="0" applyFont="1" applyBorder="1" applyAlignment="1">
      <alignment horizontal="center" vertical="center"/>
    </xf>
    <xf numFmtId="0" fontId="0" fillId="0" borderId="24" xfId="0" applyBorder="1"/>
    <xf numFmtId="0" fontId="0" fillId="0" borderId="25" xfId="0" applyBorder="1"/>
    <xf numFmtId="0" fontId="1" fillId="0" borderId="82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  <xf numFmtId="0" fontId="1" fillId="0" borderId="80" xfId="0" applyFont="1" applyBorder="1" applyAlignment="1">
      <alignment horizontal="center" vertical="center"/>
    </xf>
    <xf numFmtId="49" fontId="1" fillId="0" borderId="51" xfId="0" applyNumberFormat="1" applyFont="1" applyBorder="1" applyAlignment="1">
      <alignment horizontal="center" vertical="center"/>
    </xf>
    <xf numFmtId="49" fontId="1" fillId="0" borderId="53" xfId="0" applyNumberFormat="1" applyFont="1" applyBorder="1" applyAlignment="1">
      <alignment horizontal="center" vertical="center"/>
    </xf>
    <xf numFmtId="164" fontId="4" fillId="0" borderId="116" xfId="0" applyNumberFormat="1" applyFont="1" applyBorder="1" applyAlignment="1">
      <alignment horizontal="center" vertical="center"/>
    </xf>
    <xf numFmtId="164" fontId="4" fillId="0" borderId="91" xfId="0" applyNumberFormat="1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" fillId="0" borderId="76" xfId="0" applyFont="1" applyBorder="1" applyAlignment="1">
      <alignment horizontal="center" vertical="center"/>
    </xf>
    <xf numFmtId="0" fontId="1" fillId="0" borderId="55" xfId="0" applyFont="1" applyBorder="1" applyAlignment="1">
      <alignment horizontal="center" vertical="center"/>
    </xf>
    <xf numFmtId="0" fontId="1" fillId="0" borderId="6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1" fillId="0" borderId="54" xfId="0" applyNumberFormat="1" applyFont="1" applyBorder="1" applyAlignment="1">
      <alignment horizontal="center" vertical="center"/>
    </xf>
    <xf numFmtId="49" fontId="1" fillId="0" borderId="55" xfId="0" applyNumberFormat="1" applyFont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164" fontId="12" fillId="0" borderId="116" xfId="0" applyNumberFormat="1" applyFont="1" applyBorder="1" applyAlignment="1">
      <alignment horizontal="center" vertical="center" wrapText="1"/>
    </xf>
    <xf numFmtId="164" fontId="12" fillId="0" borderId="119" xfId="0" applyNumberFormat="1" applyFont="1" applyBorder="1" applyAlignment="1">
      <alignment horizontal="center" vertical="center" wrapText="1"/>
    </xf>
    <xf numFmtId="164" fontId="12" fillId="0" borderId="122" xfId="0" applyNumberFormat="1" applyFont="1" applyBorder="1" applyAlignment="1">
      <alignment horizontal="center" vertical="center" wrapText="1"/>
    </xf>
    <xf numFmtId="0" fontId="1" fillId="0" borderId="70" xfId="0" applyFont="1" applyBorder="1" applyAlignment="1">
      <alignment horizontal="center" vertical="center"/>
    </xf>
    <xf numFmtId="0" fontId="1" fillId="0" borderId="81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1" fillId="0" borderId="83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49" fontId="1" fillId="0" borderId="56" xfId="0" applyNumberFormat="1" applyFont="1" applyBorder="1" applyAlignment="1">
      <alignment horizontal="center" vertical="center"/>
    </xf>
    <xf numFmtId="49" fontId="1" fillId="0" borderId="58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4" fontId="8" fillId="0" borderId="116" xfId="0" applyNumberFormat="1" applyFont="1" applyBorder="1" applyAlignment="1">
      <alignment horizontal="center" vertical="center" wrapText="1"/>
    </xf>
    <xf numFmtId="164" fontId="8" fillId="0" borderId="119" xfId="0" applyNumberFormat="1" applyFont="1" applyBorder="1" applyAlignment="1">
      <alignment horizontal="center" vertical="center" wrapText="1"/>
    </xf>
    <xf numFmtId="164" fontId="8" fillId="0" borderId="122" xfId="0" applyNumberFormat="1" applyFont="1" applyBorder="1" applyAlignment="1">
      <alignment horizontal="center" vertical="center" wrapText="1"/>
    </xf>
    <xf numFmtId="0" fontId="1" fillId="0" borderId="119" xfId="0" applyFont="1" applyBorder="1" applyAlignment="1">
      <alignment horizontal="left" vertical="center"/>
    </xf>
    <xf numFmtId="164" fontId="1" fillId="0" borderId="119" xfId="0" applyNumberFormat="1" applyFont="1" applyBorder="1" applyAlignment="1">
      <alignment vertical="center"/>
    </xf>
    <xf numFmtId="49" fontId="1" fillId="0" borderId="22" xfId="0" applyNumberFormat="1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8" fillId="0" borderId="52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53" xfId="0" applyFont="1" applyBorder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1" fillId="0" borderId="72" xfId="0" applyFont="1" applyBorder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0" borderId="74" xfId="0" applyFont="1" applyBorder="1" applyAlignment="1">
      <alignment horizontal="center" vertical="center"/>
    </xf>
    <xf numFmtId="0" fontId="1" fillId="0" borderId="116" xfId="0" applyFont="1" applyBorder="1" applyAlignment="1">
      <alignment horizontal="left" vertical="center"/>
    </xf>
    <xf numFmtId="164" fontId="1" fillId="0" borderId="22" xfId="0" applyNumberFormat="1" applyFont="1" applyBorder="1" applyAlignment="1">
      <alignment vertical="center"/>
    </xf>
    <xf numFmtId="164" fontId="1" fillId="0" borderId="119" xfId="0" applyNumberFormat="1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 wrapText="1"/>
    </xf>
    <xf numFmtId="0" fontId="8" fillId="0" borderId="5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164" fontId="1" fillId="0" borderId="122" xfId="0" applyNumberFormat="1" applyFont="1" applyBorder="1" applyAlignment="1">
      <alignment horizontal="center" vertical="center"/>
    </xf>
    <xf numFmtId="164" fontId="1" fillId="0" borderId="122" xfId="0" applyNumberFormat="1" applyFont="1" applyBorder="1" applyAlignment="1">
      <alignment vertical="center"/>
    </xf>
    <xf numFmtId="0" fontId="8" fillId="0" borderId="7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5" xfId="0" applyFont="1" applyBorder="1" applyAlignment="1">
      <alignment horizontal="center" vertical="center"/>
    </xf>
    <xf numFmtId="0" fontId="8" fillId="0" borderId="76" xfId="0" applyFont="1" applyBorder="1" applyAlignment="1">
      <alignment horizontal="center" vertical="center"/>
    </xf>
    <xf numFmtId="0" fontId="8" fillId="0" borderId="77" xfId="0" applyFont="1" applyBorder="1" applyAlignment="1">
      <alignment horizontal="center" vertical="center"/>
    </xf>
    <xf numFmtId="0" fontId="1" fillId="0" borderId="84" xfId="0" applyFont="1" applyBorder="1" applyAlignment="1">
      <alignment horizontal="center" vertical="center" textRotation="90"/>
    </xf>
    <xf numFmtId="0" fontId="1" fillId="0" borderId="20" xfId="0" applyFont="1" applyBorder="1" applyAlignment="1">
      <alignment horizontal="center" vertical="center" textRotation="90"/>
    </xf>
    <xf numFmtId="0" fontId="1" fillId="0" borderId="21" xfId="0" applyFont="1" applyBorder="1" applyAlignment="1">
      <alignment horizontal="center" vertical="center" textRotation="90"/>
    </xf>
    <xf numFmtId="0" fontId="1" fillId="0" borderId="78" xfId="0" applyFont="1" applyBorder="1" applyAlignment="1">
      <alignment horizontal="center" vertical="center" textRotation="90"/>
    </xf>
    <xf numFmtId="0" fontId="1" fillId="0" borderId="79" xfId="0" applyFont="1" applyBorder="1" applyAlignment="1">
      <alignment horizontal="center" vertical="center" textRotation="90"/>
    </xf>
    <xf numFmtId="0" fontId="1" fillId="0" borderId="3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49" fontId="1" fillId="0" borderId="33" xfId="0" applyNumberFormat="1" applyFont="1" applyBorder="1" applyAlignment="1">
      <alignment horizontal="center" vertical="center" wrapText="1"/>
    </xf>
    <xf numFmtId="49" fontId="1" fillId="0" borderId="5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0" fontId="1" fillId="0" borderId="36" xfId="0" applyFont="1" applyFill="1" applyBorder="1" applyAlignment="1">
      <alignment horizontal="left" vertical="center" wrapText="1"/>
    </xf>
    <xf numFmtId="0" fontId="1" fillId="0" borderId="5" xfId="0" applyFont="1" applyFill="1" applyBorder="1" applyAlignment="1">
      <alignment horizontal="left" vertical="center" wrapText="1"/>
    </xf>
    <xf numFmtId="0" fontId="1" fillId="0" borderId="32" xfId="0" applyFont="1" applyFill="1" applyBorder="1" applyAlignment="1">
      <alignment horizontal="left" vertical="center" wrapText="1"/>
    </xf>
    <xf numFmtId="0" fontId="1" fillId="0" borderId="22" xfId="0" applyFont="1" applyBorder="1" applyAlignment="1">
      <alignment horizontal="center" vertical="center" textRotation="90"/>
    </xf>
    <xf numFmtId="0" fontId="1" fillId="0" borderId="62" xfId="0" applyFont="1" applyBorder="1" applyAlignment="1">
      <alignment horizontal="center" vertical="center" textRotation="90"/>
    </xf>
    <xf numFmtId="0" fontId="1" fillId="0" borderId="47" xfId="0" applyFont="1" applyBorder="1" applyAlignment="1">
      <alignment horizontal="center" vertical="center" textRotation="90"/>
    </xf>
    <xf numFmtId="0" fontId="1" fillId="0" borderId="22" xfId="0" applyFont="1" applyBorder="1" applyAlignment="1">
      <alignment horizontal="center" textRotation="90"/>
    </xf>
    <xf numFmtId="0" fontId="1" fillId="0" borderId="62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59" xfId="0" applyFont="1" applyBorder="1" applyAlignment="1">
      <alignment horizontal="center" vertical="center" textRotation="90"/>
    </xf>
    <xf numFmtId="0" fontId="1" fillId="0" borderId="65" xfId="0" applyFont="1" applyBorder="1" applyAlignment="1">
      <alignment horizontal="center" vertical="center" textRotation="90"/>
    </xf>
    <xf numFmtId="0" fontId="1" fillId="0" borderId="59" xfId="0" applyFont="1" applyBorder="1" applyAlignment="1">
      <alignment horizontal="center" textRotation="90"/>
    </xf>
    <xf numFmtId="0" fontId="1" fillId="0" borderId="65" xfId="0" applyFont="1" applyBorder="1" applyAlignment="1">
      <alignment horizontal="center" textRotation="90"/>
    </xf>
    <xf numFmtId="0" fontId="1" fillId="0" borderId="79" xfId="0" applyFont="1" applyBorder="1" applyAlignment="1">
      <alignment horizontal="center" textRotation="90"/>
    </xf>
    <xf numFmtId="0" fontId="5" fillId="0" borderId="34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93" xfId="0" applyFont="1" applyBorder="1" applyAlignment="1">
      <alignment horizontal="center" vertical="center" wrapText="1"/>
    </xf>
    <xf numFmtId="0" fontId="5" fillId="0" borderId="94" xfId="0" applyFont="1" applyBorder="1" applyAlignment="1">
      <alignment horizontal="center" vertical="center" wrapText="1"/>
    </xf>
    <xf numFmtId="0" fontId="5" fillId="0" borderId="38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95" xfId="0" applyFont="1" applyBorder="1" applyAlignment="1">
      <alignment horizontal="center" vertical="center" wrapText="1"/>
    </xf>
    <xf numFmtId="0" fontId="5" fillId="0" borderId="96" xfId="0" applyFont="1" applyBorder="1" applyAlignment="1">
      <alignment horizontal="center" vertical="center" wrapText="1"/>
    </xf>
    <xf numFmtId="0" fontId="5" fillId="0" borderId="40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5" fillId="0" borderId="97" xfId="0" applyFont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0" fontId="1" fillId="0" borderId="34" xfId="0" applyFont="1" applyBorder="1" applyAlignment="1">
      <alignment horizontal="left" vertical="center" wrapText="1"/>
    </xf>
    <xf numFmtId="0" fontId="1" fillId="0" borderId="38" xfId="0" applyFont="1" applyBorder="1" applyAlignment="1">
      <alignment horizontal="left" vertical="center" wrapText="1"/>
    </xf>
    <xf numFmtId="0" fontId="1" fillId="0" borderId="39" xfId="0" applyFont="1" applyBorder="1" applyAlignment="1">
      <alignment horizontal="left" vertical="center" wrapText="1"/>
    </xf>
    <xf numFmtId="0" fontId="1" fillId="0" borderId="36" xfId="0" applyFont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38" xfId="0" applyFont="1" applyBorder="1" applyAlignment="1">
      <alignment horizontal="center" vertical="center" wrapText="1"/>
    </xf>
    <xf numFmtId="49" fontId="1" fillId="0" borderId="4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35" xfId="0" applyNumberFormat="1" applyFont="1" applyBorder="1" applyAlignment="1">
      <alignment horizontal="center" vertical="center" wrapText="1"/>
    </xf>
    <xf numFmtId="0" fontId="4" fillId="0" borderId="45" xfId="0" applyFont="1" applyBorder="1" applyAlignment="1">
      <alignment horizontal="center" vertical="center"/>
    </xf>
    <xf numFmtId="0" fontId="4" fillId="0" borderId="92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1" fillId="0" borderId="119" xfId="0" applyFont="1" applyBorder="1" applyAlignment="1">
      <alignment horizontal="center" vertical="center" wrapText="1"/>
    </xf>
    <xf numFmtId="0" fontId="2" fillId="0" borderId="119" xfId="0" applyFont="1" applyBorder="1" applyAlignment="1">
      <alignment horizontal="center" wrapText="1"/>
    </xf>
    <xf numFmtId="0" fontId="2" fillId="0" borderId="123" xfId="0" applyFont="1" applyBorder="1" applyAlignment="1">
      <alignment horizontal="center" wrapText="1"/>
    </xf>
    <xf numFmtId="0" fontId="2" fillId="0" borderId="124" xfId="0" applyFont="1" applyBorder="1" applyAlignment="1">
      <alignment horizontal="center" wrapText="1"/>
    </xf>
    <xf numFmtId="0" fontId="2" fillId="0" borderId="125" xfId="0" applyFont="1" applyBorder="1" applyAlignment="1">
      <alignment horizontal="center" wrapText="1"/>
    </xf>
    <xf numFmtId="0" fontId="1" fillId="0" borderId="42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0" fillId="0" borderId="45" xfId="0" applyFont="1" applyBorder="1" applyAlignment="1" applyProtection="1">
      <alignment horizontal="center" vertical="center" textRotation="90" shrinkToFit="1"/>
    </xf>
    <xf numFmtId="0" fontId="10" fillId="0" borderId="27" xfId="0" applyFont="1" applyBorder="1" applyAlignment="1" applyProtection="1">
      <alignment horizontal="center" vertical="center" textRotation="90" shrinkToFit="1"/>
    </xf>
    <xf numFmtId="0" fontId="1" fillId="0" borderId="116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wrapText="1"/>
    </xf>
    <xf numFmtId="0" fontId="1" fillId="0" borderId="119" xfId="0" applyFont="1" applyFill="1" applyBorder="1" applyAlignment="1">
      <alignment horizontal="center" vertical="center" wrapText="1"/>
    </xf>
    <xf numFmtId="0" fontId="1" fillId="0" borderId="123" xfId="0" applyFont="1" applyBorder="1" applyAlignment="1">
      <alignment horizontal="left" vertical="center" wrapText="1"/>
    </xf>
    <xf numFmtId="0" fontId="1" fillId="0" borderId="124" xfId="0" applyFont="1" applyBorder="1" applyAlignment="1">
      <alignment horizontal="left" vertical="center" wrapText="1"/>
    </xf>
    <xf numFmtId="0" fontId="1" fillId="0" borderId="125" xfId="0" applyFont="1" applyBorder="1" applyAlignment="1">
      <alignment horizontal="left" vertical="center" wrapText="1"/>
    </xf>
    <xf numFmtId="0" fontId="1" fillId="0" borderId="123" xfId="0" applyFont="1" applyBorder="1" applyAlignment="1">
      <alignment horizontal="center" vertical="center" wrapText="1"/>
    </xf>
    <xf numFmtId="0" fontId="1" fillId="0" borderId="125" xfId="0" applyFont="1" applyBorder="1" applyAlignment="1">
      <alignment horizontal="center" vertical="center" wrapText="1"/>
    </xf>
    <xf numFmtId="0" fontId="2" fillId="0" borderId="123" xfId="0" applyFont="1" applyBorder="1" applyAlignment="1">
      <alignment horizontal="left" vertical="center"/>
    </xf>
    <xf numFmtId="0" fontId="2" fillId="0" borderId="124" xfId="0" applyFont="1" applyBorder="1" applyAlignment="1">
      <alignment horizontal="left" vertical="center"/>
    </xf>
    <xf numFmtId="0" fontId="2" fillId="0" borderId="125" xfId="0" applyFont="1" applyBorder="1" applyAlignment="1">
      <alignment horizontal="left" vertical="center"/>
    </xf>
    <xf numFmtId="0" fontId="5" fillId="0" borderId="42" xfId="0" applyFont="1" applyBorder="1" applyAlignment="1">
      <alignment horizontal="right" vertical="center" wrapText="1"/>
    </xf>
    <xf numFmtId="0" fontId="5" fillId="0" borderId="43" xfId="0" applyFont="1" applyBorder="1" applyAlignment="1">
      <alignment horizontal="right" vertical="center" wrapText="1"/>
    </xf>
    <xf numFmtId="0" fontId="5" fillId="0" borderId="44" xfId="0" applyFont="1" applyBorder="1" applyAlignment="1">
      <alignment horizontal="right" vertical="center" wrapText="1"/>
    </xf>
    <xf numFmtId="0" fontId="3" fillId="3" borderId="41" xfId="0" applyFont="1" applyFill="1" applyBorder="1" applyAlignment="1" applyProtection="1">
      <alignment horizontal="center" vertical="center" textRotation="90" wrapText="1"/>
    </xf>
    <xf numFmtId="0" fontId="3" fillId="3" borderId="0" xfId="0" applyFont="1" applyFill="1" applyBorder="1" applyAlignment="1" applyProtection="1">
      <alignment horizontal="center" vertical="center" textRotation="90" wrapText="1"/>
    </xf>
    <xf numFmtId="0" fontId="3" fillId="2" borderId="41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116" xfId="0" applyFont="1" applyBorder="1" applyAlignment="1">
      <alignment horizontal="center" wrapText="1"/>
    </xf>
    <xf numFmtId="0" fontId="1" fillId="0" borderId="6" xfId="0" applyFont="1" applyBorder="1" applyAlignment="1">
      <alignment horizontal="center" vertical="center" textRotation="90"/>
    </xf>
    <xf numFmtId="0" fontId="1" fillId="0" borderId="45" xfId="0" applyFont="1" applyBorder="1" applyAlignment="1">
      <alignment horizontal="center" textRotation="90"/>
    </xf>
    <xf numFmtId="0" fontId="1" fillId="0" borderId="1" xfId="0" applyFont="1" applyBorder="1" applyAlignment="1">
      <alignment horizontal="center" vertical="center" textRotation="90"/>
    </xf>
    <xf numFmtId="0" fontId="1" fillId="0" borderId="57" xfId="0" applyFont="1" applyBorder="1" applyAlignment="1">
      <alignment horizontal="center" vertical="center" textRotation="90"/>
    </xf>
    <xf numFmtId="0" fontId="1" fillId="0" borderId="76" xfId="0" applyFont="1" applyBorder="1" applyAlignment="1">
      <alignment horizontal="center" vertical="center" textRotation="90"/>
    </xf>
    <xf numFmtId="0" fontId="1" fillId="0" borderId="77" xfId="0" applyFont="1" applyBorder="1" applyAlignment="1">
      <alignment horizontal="center" vertical="center" textRotation="90"/>
    </xf>
    <xf numFmtId="0" fontId="8" fillId="0" borderId="6" xfId="0" applyFont="1" applyBorder="1" applyAlignment="1">
      <alignment horizontal="center" vertical="center" wrapText="1"/>
    </xf>
    <xf numFmtId="164" fontId="1" fillId="0" borderId="123" xfId="0" applyNumberFormat="1" applyFont="1" applyBorder="1" applyAlignment="1">
      <alignment horizontal="left" vertical="center"/>
    </xf>
    <xf numFmtId="164" fontId="1" fillId="0" borderId="124" xfId="0" applyNumberFormat="1" applyFont="1" applyBorder="1" applyAlignment="1">
      <alignment horizontal="left" vertical="center"/>
    </xf>
    <xf numFmtId="164" fontId="1" fillId="0" borderId="125" xfId="0" applyNumberFormat="1" applyFont="1" applyBorder="1" applyAlignment="1">
      <alignment horizontal="left" vertical="center"/>
    </xf>
    <xf numFmtId="164" fontId="1" fillId="0" borderId="28" xfId="0" applyNumberFormat="1" applyFont="1" applyBorder="1" applyAlignment="1">
      <alignment horizontal="left" vertical="center"/>
    </xf>
    <xf numFmtId="164" fontId="1" fillId="0" borderId="46" xfId="0" applyNumberFormat="1" applyFont="1" applyBorder="1" applyAlignment="1">
      <alignment horizontal="left" vertical="center"/>
    </xf>
    <xf numFmtId="164" fontId="1" fillId="0" borderId="29" xfId="0" applyNumberFormat="1" applyFont="1" applyBorder="1" applyAlignment="1">
      <alignment horizontal="left" vertical="center"/>
    </xf>
    <xf numFmtId="164" fontId="1" fillId="0" borderId="123" xfId="0" applyNumberFormat="1" applyFont="1" applyBorder="1" applyAlignment="1">
      <alignment horizontal="center" vertical="center"/>
    </xf>
    <xf numFmtId="164" fontId="1" fillId="0" borderId="124" xfId="0" applyNumberFormat="1" applyFont="1" applyBorder="1" applyAlignment="1">
      <alignment horizontal="center" vertical="center"/>
    </xf>
    <xf numFmtId="164" fontId="1" fillId="0" borderId="125" xfId="0" applyNumberFormat="1" applyFont="1" applyBorder="1" applyAlignment="1">
      <alignment horizontal="center" vertical="center"/>
    </xf>
    <xf numFmtId="164" fontId="1" fillId="0" borderId="42" xfId="0" applyNumberFormat="1" applyFont="1" applyBorder="1" applyAlignment="1">
      <alignment horizontal="left" vertical="center"/>
    </xf>
    <xf numFmtId="164" fontId="1" fillId="0" borderId="43" xfId="0" applyNumberFormat="1" applyFont="1" applyBorder="1" applyAlignment="1">
      <alignment horizontal="left" vertical="center"/>
    </xf>
    <xf numFmtId="164" fontId="1" fillId="0" borderId="44" xfId="0" applyNumberFormat="1" applyFont="1" applyBorder="1" applyAlignment="1">
      <alignment horizontal="left" vertical="center"/>
    </xf>
    <xf numFmtId="164" fontId="1" fillId="0" borderId="42" xfId="0" applyNumberFormat="1" applyFont="1" applyBorder="1" applyAlignment="1">
      <alignment horizontal="center" vertical="center"/>
    </xf>
    <xf numFmtId="164" fontId="1" fillId="0" borderId="43" xfId="0" applyNumberFormat="1" applyFont="1" applyBorder="1" applyAlignment="1">
      <alignment horizontal="center" vertical="center"/>
    </xf>
    <xf numFmtId="164" fontId="1" fillId="0" borderId="44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164" fontId="1" fillId="0" borderId="112" xfId="0" applyNumberFormat="1" applyFont="1" applyBorder="1" applyAlignment="1">
      <alignment horizontal="left" vertical="center"/>
    </xf>
    <xf numFmtId="164" fontId="1" fillId="0" borderId="19" xfId="0" applyNumberFormat="1" applyFont="1" applyBorder="1" applyAlignment="1">
      <alignment horizontal="left" vertical="center"/>
    </xf>
    <xf numFmtId="164" fontId="1" fillId="0" borderId="113" xfId="0" applyNumberFormat="1" applyFont="1" applyBorder="1" applyAlignment="1">
      <alignment horizontal="left" vertical="center"/>
    </xf>
    <xf numFmtId="164" fontId="1" fillId="0" borderId="112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113" xfId="0" applyNumberFormat="1" applyFont="1" applyBorder="1" applyAlignment="1">
      <alignment horizontal="center" vertical="center"/>
    </xf>
    <xf numFmtId="49" fontId="1" fillId="0" borderId="119" xfId="0" applyNumberFormat="1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49" fontId="1" fillId="0" borderId="21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49" fontId="1" fillId="0" borderId="116" xfId="0" applyNumberFormat="1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0" fontId="1" fillId="0" borderId="123" xfId="0" applyFont="1" applyBorder="1" applyAlignment="1">
      <alignment horizontal="center" vertical="center"/>
    </xf>
    <xf numFmtId="0" fontId="1" fillId="0" borderId="125" xfId="0" applyFont="1" applyBorder="1" applyAlignment="1">
      <alignment horizontal="center" vertical="center"/>
    </xf>
    <xf numFmtId="0" fontId="1" fillId="0" borderId="124" xfId="0" applyFont="1" applyBorder="1" applyAlignment="1">
      <alignment horizontal="center" vertical="center"/>
    </xf>
    <xf numFmtId="0" fontId="1" fillId="0" borderId="116" xfId="0" applyFont="1" applyBorder="1" applyAlignment="1">
      <alignment horizontal="center" vertical="center"/>
    </xf>
    <xf numFmtId="0" fontId="1" fillId="0" borderId="112" xfId="0" applyFont="1" applyBorder="1" applyAlignment="1">
      <alignment horizontal="left" vertical="center" wrapText="1"/>
    </xf>
    <xf numFmtId="0" fontId="1" fillId="0" borderId="19" xfId="0" applyFont="1" applyBorder="1" applyAlignment="1">
      <alignment horizontal="left" vertical="center" wrapText="1"/>
    </xf>
    <xf numFmtId="0" fontId="1" fillId="0" borderId="113" xfId="0" applyFont="1" applyBorder="1" applyAlignment="1">
      <alignment horizontal="left" vertical="center" wrapText="1"/>
    </xf>
    <xf numFmtId="0" fontId="1" fillId="0" borderId="52" xfId="0" applyFont="1" applyBorder="1" applyAlignment="1">
      <alignment horizontal="center" vertical="center" textRotation="90"/>
    </xf>
    <xf numFmtId="0" fontId="1" fillId="0" borderId="80" xfId="0" applyFont="1" applyBorder="1" applyAlignment="1">
      <alignment horizontal="center" vertical="center" textRotation="90"/>
    </xf>
    <xf numFmtId="0" fontId="1" fillId="0" borderId="23" xfId="0" applyFont="1" applyBorder="1" applyAlignment="1">
      <alignment horizontal="center" vertical="center" textRotation="90"/>
    </xf>
    <xf numFmtId="0" fontId="1" fillId="0" borderId="7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1" fillId="0" borderId="91" xfId="0" applyFont="1" applyBorder="1" applyAlignment="1">
      <alignment horizontal="center" vertical="center" wrapText="1"/>
    </xf>
    <xf numFmtId="164" fontId="1" fillId="0" borderId="14" xfId="0" applyNumberFormat="1" applyFont="1" applyBorder="1" applyAlignment="1">
      <alignment horizontal="left" vertical="center"/>
    </xf>
    <xf numFmtId="164" fontId="1" fillId="0" borderId="15" xfId="0" applyNumberFormat="1" applyFont="1" applyBorder="1" applyAlignment="1">
      <alignment horizontal="left" vertical="center"/>
    </xf>
    <xf numFmtId="164" fontId="1" fillId="0" borderId="16" xfId="0" applyNumberFormat="1" applyFont="1" applyBorder="1" applyAlignment="1">
      <alignment horizontal="left" vertical="center"/>
    </xf>
    <xf numFmtId="164" fontId="1" fillId="0" borderId="14" xfId="0" applyNumberFormat="1" applyFont="1" applyBorder="1" applyAlignment="1">
      <alignment horizontal="center" vertical="center"/>
    </xf>
    <xf numFmtId="164" fontId="1" fillId="0" borderId="15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left" vertical="center"/>
    </xf>
    <xf numFmtId="164" fontId="1" fillId="0" borderId="18" xfId="0" applyNumberFormat="1" applyFont="1" applyBorder="1" applyAlignment="1">
      <alignment horizontal="left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textRotation="90"/>
    </xf>
    <xf numFmtId="0" fontId="1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16" xfId="0" applyFont="1" applyBorder="1" applyAlignment="1">
      <alignment horizontal="left" vertical="center" wrapText="1"/>
    </xf>
    <xf numFmtId="0" fontId="2" fillId="0" borderId="11" xfId="0" applyFont="1" applyBorder="1" applyAlignment="1">
      <alignment horizontal="center" vertical="center" wrapText="1"/>
    </xf>
    <xf numFmtId="0" fontId="1" fillId="0" borderId="54" xfId="0" applyFont="1" applyBorder="1" applyAlignment="1">
      <alignment horizontal="center" vertical="center" textRotation="90"/>
    </xf>
    <xf numFmtId="0" fontId="1" fillId="0" borderId="55" xfId="0" applyFont="1" applyBorder="1" applyAlignment="1">
      <alignment horizontal="center" vertical="center" textRotation="90"/>
    </xf>
    <xf numFmtId="0" fontId="1" fillId="0" borderId="56" xfId="0" applyFont="1" applyBorder="1" applyAlignment="1">
      <alignment horizontal="center" vertical="center" textRotation="90"/>
    </xf>
    <xf numFmtId="0" fontId="1" fillId="0" borderId="58" xfId="0" applyFont="1" applyBorder="1" applyAlignment="1">
      <alignment horizontal="center" vertical="center" textRotation="90"/>
    </xf>
    <xf numFmtId="0" fontId="2" fillId="0" borderId="42" xfId="0" applyFont="1" applyBorder="1" applyAlignment="1">
      <alignment horizontal="left" vertical="center" wrapText="1"/>
    </xf>
    <xf numFmtId="0" fontId="2" fillId="0" borderId="43" xfId="0" applyFont="1" applyBorder="1" applyAlignment="1">
      <alignment horizontal="left" vertical="center" wrapText="1"/>
    </xf>
    <xf numFmtId="0" fontId="2" fillId="0" borderId="44" xfId="0" applyFont="1" applyBorder="1" applyAlignment="1">
      <alignment horizontal="left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3" fillId="0" borderId="11" xfId="0" applyFont="1" applyBorder="1" applyAlignment="1" applyProtection="1">
      <alignment horizontal="center" vertical="center" textRotation="90" shrinkToFit="1"/>
    </xf>
    <xf numFmtId="0" fontId="1" fillId="0" borderId="130" xfId="0" applyFont="1" applyBorder="1" applyAlignment="1">
      <alignment horizontal="center" vertical="center" wrapText="1"/>
    </xf>
    <xf numFmtId="0" fontId="1" fillId="0" borderId="130" xfId="0" applyFont="1" applyBorder="1" applyAlignment="1">
      <alignment horizontal="center" wrapText="1"/>
    </xf>
    <xf numFmtId="0" fontId="1" fillId="0" borderId="131" xfId="0" applyFont="1" applyBorder="1" applyAlignment="1">
      <alignment horizontal="center" wrapText="1"/>
    </xf>
    <xf numFmtId="0" fontId="1" fillId="0" borderId="133" xfId="0" applyFont="1" applyBorder="1" applyAlignment="1">
      <alignment horizontal="center" vertical="center" wrapText="1"/>
    </xf>
    <xf numFmtId="0" fontId="1" fillId="0" borderId="133" xfId="0" applyFont="1" applyBorder="1" applyAlignment="1">
      <alignment horizontal="center" wrapText="1"/>
    </xf>
    <xf numFmtId="0" fontId="1" fillId="0" borderId="134" xfId="0" applyFont="1" applyBorder="1" applyAlignment="1">
      <alignment horizontal="center" wrapText="1"/>
    </xf>
    <xf numFmtId="0" fontId="4" fillId="0" borderId="116" xfId="0" applyFont="1" applyBorder="1" applyAlignment="1">
      <alignment horizontal="center" vertical="center" wrapText="1"/>
    </xf>
    <xf numFmtId="0" fontId="4" fillId="0" borderId="119" xfId="0" applyFont="1" applyBorder="1" applyAlignment="1">
      <alignment horizontal="center" vertical="center" wrapText="1"/>
    </xf>
    <xf numFmtId="0" fontId="4" fillId="0" borderId="122" xfId="0" applyFont="1" applyBorder="1" applyAlignment="1">
      <alignment horizontal="center" vertical="center" wrapText="1"/>
    </xf>
    <xf numFmtId="0" fontId="8" fillId="0" borderId="116" xfId="0" applyFont="1" applyBorder="1" applyAlignment="1">
      <alignment horizontal="center" vertical="center" wrapText="1"/>
    </xf>
    <xf numFmtId="0" fontId="8" fillId="0" borderId="122" xfId="0" applyFont="1" applyBorder="1" applyAlignment="1">
      <alignment horizontal="center" vertical="center" wrapText="1"/>
    </xf>
    <xf numFmtId="0" fontId="8" fillId="0" borderId="84" xfId="0" applyFont="1" applyBorder="1" applyAlignment="1">
      <alignment horizontal="center" vertical="center" textRotation="90" wrapText="1"/>
    </xf>
    <xf numFmtId="0" fontId="8" fillId="0" borderId="20" xfId="0" applyFont="1" applyBorder="1" applyAlignment="1">
      <alignment horizontal="center" vertical="center" textRotation="90" wrapText="1"/>
    </xf>
    <xf numFmtId="0" fontId="1" fillId="0" borderId="127" xfId="0" applyFont="1" applyBorder="1" applyAlignment="1">
      <alignment horizontal="center" vertical="center" wrapText="1"/>
    </xf>
    <xf numFmtId="0" fontId="1" fillId="0" borderId="127" xfId="0" applyFont="1" applyBorder="1" applyAlignment="1">
      <alignment horizontal="center" wrapText="1"/>
    </xf>
    <xf numFmtId="0" fontId="1" fillId="0" borderId="128" xfId="0" applyFont="1" applyBorder="1" applyAlignment="1">
      <alignment horizontal="center" wrapText="1"/>
    </xf>
    <xf numFmtId="0" fontId="1" fillId="0" borderId="135" xfId="0" applyFont="1" applyBorder="1" applyAlignment="1">
      <alignment horizontal="center" vertical="center" wrapText="1"/>
    </xf>
    <xf numFmtId="0" fontId="1" fillId="0" borderId="136" xfId="0" applyFont="1" applyBorder="1" applyAlignment="1">
      <alignment horizontal="center" vertical="center" wrapText="1"/>
    </xf>
    <xf numFmtId="0" fontId="1" fillId="0" borderId="137" xfId="0" applyFont="1" applyBorder="1" applyAlignment="1">
      <alignment horizontal="center" vertical="center" wrapText="1"/>
    </xf>
    <xf numFmtId="0" fontId="1" fillId="0" borderId="118" xfId="0" applyFont="1" applyBorder="1" applyAlignment="1">
      <alignment horizontal="center" vertical="center" wrapText="1"/>
    </xf>
    <xf numFmtId="0" fontId="1" fillId="0" borderId="118" xfId="0" applyFont="1" applyBorder="1" applyAlignment="1">
      <alignment horizontal="center" wrapText="1"/>
    </xf>
    <xf numFmtId="0" fontId="1" fillId="0" borderId="119" xfId="0" applyFont="1" applyBorder="1" applyAlignment="1">
      <alignment horizontal="center" wrapText="1"/>
    </xf>
    <xf numFmtId="0" fontId="1" fillId="0" borderId="121" xfId="0" applyFont="1" applyBorder="1" applyAlignment="1">
      <alignment horizontal="center" vertical="center" wrapText="1"/>
    </xf>
    <xf numFmtId="0" fontId="1" fillId="0" borderId="121" xfId="0" applyFont="1" applyBorder="1" applyAlignment="1">
      <alignment horizontal="center" wrapText="1"/>
    </xf>
    <xf numFmtId="0" fontId="1" fillId="0" borderId="122" xfId="0" applyFont="1" applyBorder="1" applyAlignment="1">
      <alignment horizontal="center" wrapText="1"/>
    </xf>
    <xf numFmtId="0" fontId="4" fillId="0" borderId="101" xfId="0" applyFont="1" applyBorder="1" applyAlignment="1">
      <alignment horizontal="center" vertical="center" wrapText="1"/>
    </xf>
    <xf numFmtId="0" fontId="4" fillId="0" borderId="104" xfId="0" applyFont="1" applyBorder="1" applyAlignment="1">
      <alignment horizontal="center" vertical="center" wrapText="1"/>
    </xf>
    <xf numFmtId="0" fontId="4" fillId="0" borderId="107" xfId="0" applyFont="1" applyBorder="1" applyAlignment="1">
      <alignment horizontal="center" vertical="center" wrapText="1"/>
    </xf>
    <xf numFmtId="0" fontId="8" fillId="0" borderId="101" xfId="0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 wrapText="1"/>
    </xf>
    <xf numFmtId="0" fontId="1" fillId="0" borderId="124" xfId="0" applyFont="1" applyBorder="1" applyAlignment="1">
      <alignment horizontal="center" vertical="center" wrapText="1"/>
    </xf>
    <xf numFmtId="0" fontId="1" fillId="0" borderId="115" xfId="0" applyFont="1" applyBorder="1" applyAlignment="1">
      <alignment horizontal="center" wrapText="1"/>
    </xf>
    <xf numFmtId="0" fontId="1" fillId="0" borderId="116" xfId="0" applyFont="1" applyBorder="1" applyAlignment="1">
      <alignment horizontal="center" wrapText="1"/>
    </xf>
    <xf numFmtId="0" fontId="1" fillId="0" borderId="115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89" xfId="0" applyFont="1" applyBorder="1" applyAlignment="1">
      <alignment horizontal="center" vertical="center" wrapText="1"/>
    </xf>
    <xf numFmtId="0" fontId="1" fillId="0" borderId="88" xfId="0" applyFont="1" applyBorder="1" applyAlignment="1">
      <alignment horizontal="center" vertical="center" wrapText="1"/>
    </xf>
    <xf numFmtId="0" fontId="1" fillId="0" borderId="90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87" xfId="0" applyFont="1" applyBorder="1" applyAlignment="1">
      <alignment horizontal="center" wrapText="1"/>
    </xf>
    <xf numFmtId="0" fontId="1" fillId="0" borderId="87" xfId="0" applyFont="1" applyBorder="1" applyAlignment="1">
      <alignment horizontal="center" vertical="center" wrapText="1"/>
    </xf>
    <xf numFmtId="0" fontId="1" fillId="0" borderId="89" xfId="0" applyFont="1" applyBorder="1" applyAlignment="1">
      <alignment horizontal="center" wrapText="1"/>
    </xf>
    <xf numFmtId="0" fontId="1" fillId="0" borderId="90" xfId="0" applyFont="1" applyBorder="1" applyAlignment="1">
      <alignment horizont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61" xfId="0" applyFont="1" applyBorder="1" applyAlignment="1">
      <alignment horizontal="center" vertical="center" wrapText="1"/>
    </xf>
    <xf numFmtId="0" fontId="1" fillId="0" borderId="64" xfId="0" applyFont="1" applyBorder="1" applyAlignment="1">
      <alignment horizontal="center" vertical="center" wrapText="1"/>
    </xf>
    <xf numFmtId="0" fontId="1" fillId="0" borderId="61" xfId="0" applyFont="1" applyBorder="1" applyAlignment="1">
      <alignment horizontal="center" wrapText="1"/>
    </xf>
    <xf numFmtId="0" fontId="1" fillId="0" borderId="62" xfId="0" applyFont="1" applyBorder="1" applyAlignment="1">
      <alignment horizontal="center" wrapText="1"/>
    </xf>
    <xf numFmtId="0" fontId="1" fillId="0" borderId="22" xfId="0" applyFont="1" applyBorder="1" applyAlignment="1">
      <alignment horizontal="center" wrapText="1"/>
    </xf>
    <xf numFmtId="0" fontId="1" fillId="0" borderId="62" xfId="0" applyFont="1" applyBorder="1" applyAlignment="1">
      <alignment horizontal="center" vertical="center" wrapText="1"/>
    </xf>
    <xf numFmtId="0" fontId="8" fillId="0" borderId="85" xfId="0" applyFont="1" applyBorder="1" applyAlignment="1">
      <alignment horizontal="center" vertical="center" wrapText="1"/>
    </xf>
    <xf numFmtId="0" fontId="8" fillId="0" borderId="86" xfId="0" applyFont="1" applyBorder="1" applyAlignment="1">
      <alignment horizontal="center" vertical="center" wrapText="1"/>
    </xf>
    <xf numFmtId="0" fontId="1" fillId="0" borderId="91" xfId="0" applyFont="1" applyBorder="1" applyAlignment="1">
      <alignment horizontal="center" wrapText="1"/>
    </xf>
    <xf numFmtId="0" fontId="4" fillId="0" borderId="85" xfId="0" applyFont="1" applyBorder="1" applyAlignment="1">
      <alignment horizontal="center" vertical="center" wrapText="1"/>
    </xf>
    <xf numFmtId="0" fontId="4" fillId="0" borderId="87" xfId="0" applyFont="1" applyBorder="1" applyAlignment="1">
      <alignment horizontal="center" vertical="center" wrapText="1"/>
    </xf>
    <xf numFmtId="0" fontId="4" fillId="0" borderId="86" xfId="0" applyFont="1" applyBorder="1" applyAlignment="1">
      <alignment horizontal="center" vertical="center" wrapText="1"/>
    </xf>
    <xf numFmtId="0" fontId="1" fillId="0" borderId="64" xfId="0" applyFont="1" applyBorder="1" applyAlignment="1">
      <alignment horizontal="center" wrapText="1"/>
    </xf>
    <xf numFmtId="0" fontId="1" fillId="0" borderId="65" xfId="0" applyFont="1" applyBorder="1" applyAlignment="1">
      <alignment horizontal="center" wrapText="1"/>
    </xf>
    <xf numFmtId="0" fontId="4" fillId="0" borderId="48" xfId="0" applyFont="1" applyBorder="1" applyAlignment="1">
      <alignment horizontal="center" vertical="center" wrapText="1"/>
    </xf>
    <xf numFmtId="0" fontId="4" fillId="0" borderId="49" xfId="0" applyFont="1" applyBorder="1" applyAlignment="1">
      <alignment horizontal="center" vertical="center" wrapText="1"/>
    </xf>
    <xf numFmtId="0" fontId="4" fillId="0" borderId="50" xfId="0" applyFont="1" applyBorder="1" applyAlignment="1">
      <alignment horizontal="center" vertical="center" wrapText="1"/>
    </xf>
    <xf numFmtId="0" fontId="8" fillId="0" borderId="48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center" vertical="center" wrapText="1"/>
    </xf>
    <xf numFmtId="0" fontId="1" fillId="0" borderId="103" xfId="0" applyFont="1" applyBorder="1" applyAlignment="1">
      <alignment horizontal="center" wrapText="1"/>
    </xf>
    <xf numFmtId="0" fontId="1" fillId="0" borderId="104" xfId="0" applyFont="1" applyBorder="1" applyAlignment="1">
      <alignment horizontal="center" wrapText="1"/>
    </xf>
    <xf numFmtId="0" fontId="1" fillId="0" borderId="108" xfId="0" applyFont="1" applyBorder="1" applyAlignment="1">
      <alignment horizontal="center" vertical="center" wrapText="1"/>
    </xf>
    <xf numFmtId="0" fontId="1" fillId="0" borderId="109" xfId="0" applyFont="1" applyBorder="1" applyAlignment="1">
      <alignment horizontal="center" vertical="center" wrapText="1"/>
    </xf>
    <xf numFmtId="0" fontId="1" fillId="0" borderId="110" xfId="0" applyFont="1" applyBorder="1" applyAlignment="1">
      <alignment horizontal="center" vertical="center" wrapText="1"/>
    </xf>
    <xf numFmtId="0" fontId="1" fillId="0" borderId="100" xfId="0" applyFont="1" applyBorder="1" applyAlignment="1">
      <alignment horizontal="center" vertical="center" wrapText="1"/>
    </xf>
    <xf numFmtId="0" fontId="1" fillId="0" borderId="112" xfId="0" applyFont="1" applyBorder="1" applyAlignment="1">
      <alignment horizontal="center" wrapText="1"/>
    </xf>
    <xf numFmtId="0" fontId="1" fillId="0" borderId="113" xfId="0" applyFont="1" applyBorder="1" applyAlignment="1">
      <alignment horizontal="center" wrapText="1"/>
    </xf>
    <xf numFmtId="0" fontId="1" fillId="0" borderId="108" xfId="0" applyFont="1" applyBorder="1" applyAlignment="1">
      <alignment horizontal="center" wrapText="1"/>
    </xf>
    <xf numFmtId="0" fontId="1" fillId="0" borderId="111" xfId="0" applyFont="1" applyBorder="1" applyAlignment="1">
      <alignment horizontal="center" wrapText="1"/>
    </xf>
    <xf numFmtId="0" fontId="1" fillId="0" borderId="103" xfId="0" applyFont="1" applyBorder="1" applyAlignment="1">
      <alignment horizontal="center" vertical="center" wrapText="1"/>
    </xf>
    <xf numFmtId="0" fontId="1" fillId="0" borderId="106" xfId="0" applyFont="1" applyBorder="1" applyAlignment="1">
      <alignment horizontal="center" vertical="center" wrapText="1"/>
    </xf>
    <xf numFmtId="0" fontId="1" fillId="0" borderId="106" xfId="0" applyFont="1" applyBorder="1" applyAlignment="1">
      <alignment horizontal="center" wrapText="1"/>
    </xf>
    <xf numFmtId="0" fontId="1" fillId="0" borderId="107" xfId="0" applyFont="1" applyBorder="1" applyAlignment="1">
      <alignment horizontal="center" wrapText="1"/>
    </xf>
    <xf numFmtId="0" fontId="4" fillId="0" borderId="98" xfId="0" applyFont="1" applyBorder="1" applyAlignment="1">
      <alignment horizontal="center" vertical="center" wrapText="1"/>
    </xf>
    <xf numFmtId="0" fontId="1" fillId="0" borderId="111" xfId="0" applyFont="1" applyBorder="1" applyAlignment="1">
      <alignment horizontal="center" vertical="center" wrapText="1"/>
    </xf>
    <xf numFmtId="0" fontId="1" fillId="0" borderId="112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113" xfId="0" applyFont="1" applyBorder="1" applyAlignment="1">
      <alignment horizontal="center" vertical="center" wrapText="1"/>
    </xf>
    <xf numFmtId="0" fontId="1" fillId="0" borderId="100" xfId="0" applyFont="1" applyBorder="1" applyAlignment="1">
      <alignment horizontal="center" wrapText="1"/>
    </xf>
    <xf numFmtId="0" fontId="1" fillId="0" borderId="101" xfId="0" applyFont="1" applyBorder="1" applyAlignment="1">
      <alignment horizontal="center" wrapText="1"/>
    </xf>
  </cellXfs>
  <cellStyles count="1">
    <cellStyle name="Обычный" xfId="0" builtinId="0"/>
  </cellStyles>
  <dxfs count="41">
    <dxf>
      <alignment textRotation="0" readingOrder="0"/>
    </dxf>
    <dxf>
      <alignment horizontal="center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microsoft.com/office/2007/relationships/hdphoto" Target="../media/hdphoto2.wdp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47625</xdr:colOff>
          <xdr:row>2</xdr:row>
          <xdr:rowOff>19050</xdr:rowOff>
        </xdr:from>
        <xdr:to>
          <xdr:col>90</xdr:col>
          <xdr:colOff>47625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СкрытьОтобразить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104775</xdr:colOff>
      <xdr:row>29</xdr:row>
      <xdr:rowOff>57150</xdr:rowOff>
    </xdr:from>
    <xdr:to>
      <xdr:col>57</xdr:col>
      <xdr:colOff>115579</xdr:colOff>
      <xdr:row>32</xdr:row>
      <xdr:rowOff>1657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15350" y="6791325"/>
          <a:ext cx="1553854" cy="458857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noFill/>
          <a:miter lim="800000"/>
        </a:ln>
        <a:effectLst/>
      </xdr:spPr>
    </xdr:pic>
    <xdr:clientData/>
  </xdr:twoCellAnchor>
  <xdr:twoCellAnchor editAs="oneCell">
    <xdr:from>
      <xdr:col>28</xdr:col>
      <xdr:colOff>95250</xdr:colOff>
      <xdr:row>27</xdr:row>
      <xdr:rowOff>19051</xdr:rowOff>
    </xdr:from>
    <xdr:to>
      <xdr:col>32</xdr:col>
      <xdr:colOff>85047</xdr:colOff>
      <xdr:row>29</xdr:row>
      <xdr:rowOff>119188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30" b="89630" l="6468" r="9403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76825" y="6410326"/>
          <a:ext cx="675597" cy="443037"/>
        </a:xfrm>
        <a:prstGeom prst="rect">
          <a:avLst/>
        </a:prstGeom>
      </xdr:spPr>
    </xdr:pic>
    <xdr:clientData/>
  </xdr:twoCellAnchor>
  <xdr:twoCellAnchor editAs="oneCell">
    <xdr:from>
      <xdr:col>28</xdr:col>
      <xdr:colOff>161925</xdr:colOff>
      <xdr:row>24</xdr:row>
      <xdr:rowOff>123825</xdr:rowOff>
    </xdr:from>
    <xdr:to>
      <xdr:col>32</xdr:col>
      <xdr:colOff>54688</xdr:colOff>
      <xdr:row>28</xdr:row>
      <xdr:rowOff>6899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10000" b="93478" l="9829" r="89744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6000750"/>
          <a:ext cx="578563" cy="5688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21</xdr:col>
          <xdr:colOff>0</xdr:colOff>
          <xdr:row>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лист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Удалить лист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0</xdr:rowOff>
        </xdr:from>
        <xdr:to>
          <xdr:col>22</xdr:col>
          <xdr:colOff>0</xdr:colOff>
          <xdr:row>1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Смена символов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0</xdr:rowOff>
        </xdr:from>
        <xdr:to>
          <xdr:col>24</xdr:col>
          <xdr:colOff>0</xdr:colOff>
          <xdr:row>1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СкрытьОтобразить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Печать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Романов" refreshedDate="42830.660781828701" createdVersion="3" refreshedVersion="5" minRefreshableVersion="3" recordCount="337">
  <cacheSource type="worksheet">
    <worksheetSource ref="C3:R996" sheet="КЖ"/>
  </cacheSource>
  <cacheFields count="16">
    <cacheField name="Марка кабеля1 по проекту" numFmtId="0">
      <sharedItems containsBlank="1"/>
    </cacheField>
    <cacheField name="Тип" numFmtId="0">
      <sharedItems containsBlank="1" count="14">
        <s v="ВВГнг(А)-LS"/>
        <s v="КГН"/>
        <s v="ПРКС"/>
        <m/>
        <s v="ПвПу"/>
        <s v="ВВГнг(А)-FRLS"/>
        <s v="DTIP-18" u="1"/>
        <s v="ВВГнг-LS" u="1"/>
        <s v="ВВГнг" u="1"/>
        <s v="КВВГнг(А)-LS" u="1"/>
        <s v="ВВГнг-FRLS" u="1"/>
        <s v="DTCE-30" u="1"/>
        <s v="АВВГнг-LS" u="1"/>
        <s v="ПвВнг(А)-LS" u="1"/>
      </sharedItems>
    </cacheField>
    <cacheField name="Число и сечение жил" numFmtId="0">
      <sharedItems containsBlank="1" count="47">
        <s v="5х10"/>
        <s v="5х4"/>
        <s v="5х2,5"/>
        <s v="3х2,5"/>
        <s v="3х1,5"/>
        <m/>
        <s v="3х95/50-6кВ"/>
        <s v="4х240"/>
        <s v="5х25"/>
        <s v="5х1,5"/>
        <s v="3х4"/>
        <s v="3х10"/>
        <s v="3х6"/>
        <s v="5х6"/>
        <s v="5х35"/>
        <s v="5×6" u="1"/>
        <s v="5х1.5" u="1"/>
        <s v="3×95" u="1"/>
        <s v="5х2.5" u="1"/>
        <s v="3×4" u="1"/>
        <s v="5×10" u="1"/>
        <s v="5×1.5" u="1"/>
        <s v="3×6" u="1"/>
        <s v="3х1.5" u="1"/>
        <s v="5×2.5" u="1"/>
        <s v="1×95" u="1"/>
        <s v="3х2.5" u="1"/>
        <s v="1×4" u="1"/>
        <s v="5×50" u="1"/>
        <s v="3×10" u="1"/>
        <s v="3×1.5" u="1"/>
        <s v="1×6" u="1"/>
        <s v="3×2.5" u="1"/>
        <s v="3×95/50-6кВ" u="1"/>
        <s v="5×1,5" u="1"/>
        <s v="3×1,5" u="1"/>
        <s v="3×2,5" u="1"/>
        <s v="5×16" u="1"/>
        <s v="4×6" u="1"/>
        <s v="5×25" u="1"/>
        <s v="3×16" u="1"/>
        <s v="5×35" u="1"/>
        <s v="4×2.5" u="1"/>
        <s v="3×25" u="1"/>
        <s v="3×95/25" u="1"/>
        <s v="4×240" u="1"/>
        <s v="5×4" u="1"/>
      </sharedItems>
    </cacheField>
    <cacheField name="Ввод кабеля" numFmtId="0">
      <sharedItems containsBlank="1"/>
    </cacheField>
    <cacheField name="0" numFmtId="0">
      <sharedItems containsBlank="1"/>
    </cacheField>
    <cacheField name="02" numFmtId="0">
      <sharedItems containsBlank="1"/>
    </cacheField>
    <cacheField name="03" numFmtId="0">
      <sharedItems containsBlank="1"/>
    </cacheField>
    <cacheField name="04" numFmtId="0">
      <sharedItems containsBlank="1"/>
    </cacheField>
    <cacheField name="05" numFmtId="0">
      <sharedItems containsBlank="1"/>
    </cacheField>
    <cacheField name="06" numFmtId="0">
      <sharedItems containsBlank="1"/>
    </cacheField>
    <cacheField name="07" numFmtId="0">
      <sharedItems containsBlank="1"/>
    </cacheField>
    <cacheField name="Вывод кабеля" numFmtId="0">
      <sharedItems containsBlank="1"/>
    </cacheField>
    <cacheField name="Длинна кабеля по проекту" numFmtId="0">
      <sharedItems containsString="0" containsBlank="1" containsNumber="1" containsInteger="1" minValue="4" maxValue="135"/>
    </cacheField>
    <cacheField name="08" numFmtId="0">
      <sharedItems containsNonDate="0" containsString="0" containsBlank="1"/>
    </cacheField>
    <cacheField name="09" numFmtId="0">
      <sharedItems containsBlank="1" containsMixedTypes="1" containsNumber="1" containsInteger="1" minValue="3" maxValue="16"/>
    </cacheField>
    <cacheField name="Раздел" numFmtId="0">
      <sharedItems containsBlank="1" containsMixedTypes="1" containsNumber="1" containsInteger="1" minValue="0" maxValue="0" count="10">
        <s v="Наружное освещение"/>
        <m/>
        <s v="Установка трансформаторов собственных нужд"/>
        <s v="ЗРУ 6 кВ"/>
        <s v="ОПУ совмещенный с КРУЭ. Освещение и штепсельная сеть"/>
        <s v="ОПУ совмещенный с КРУЭ. Силовая сеть"/>
        <s v="ОПУ совмещенный с КРУЭ. Крановое оборудование"/>
        <s v="ОПУ совмещенный с КРУЭ. Обогрев кровли"/>
        <s v="Установка дугогасящих реакторов."/>
        <n v="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7">
  <r>
    <s v="ЩНО1-01"/>
    <x v="0"/>
    <x v="0"/>
    <s v="Ввот от ЩСН 5 секция"/>
    <m/>
    <m/>
    <m/>
    <m/>
    <m/>
    <m/>
    <m/>
    <s v="Силовая сборка ЩНО1"/>
    <n v="23"/>
    <m/>
    <m/>
    <x v="0"/>
  </r>
  <r>
    <s v="ЩНО1-02"/>
    <x v="0"/>
    <x v="1"/>
    <s v="Силовая сборка ЩНО1"/>
    <m/>
    <m/>
    <m/>
    <m/>
    <m/>
    <m/>
    <m/>
    <s v="Сборка с рубильником и предохранителем М1"/>
    <n v="135"/>
    <m/>
    <m/>
    <x v="0"/>
  </r>
  <r>
    <s v="ЩНО1-02.1"/>
    <x v="0"/>
    <x v="2"/>
    <s v="Сборка с рубильником и предохранителем М1"/>
    <m/>
    <m/>
    <m/>
    <m/>
    <m/>
    <m/>
    <m/>
    <s v="Распаячная коробка на мачте"/>
    <n v="30"/>
    <m/>
    <m/>
    <x v="0"/>
  </r>
  <r>
    <m/>
    <x v="1"/>
    <x v="3"/>
    <s v="Распаячная коробка на мачте"/>
    <m/>
    <m/>
    <m/>
    <m/>
    <m/>
    <m/>
    <m/>
    <s v="ПРА"/>
    <n v="9"/>
    <m/>
    <m/>
    <x v="0"/>
  </r>
  <r>
    <m/>
    <x v="2"/>
    <x v="4"/>
    <s v="ПРА"/>
    <m/>
    <m/>
    <m/>
    <m/>
    <m/>
    <m/>
    <m/>
    <s v="Прожектора"/>
    <n v="6"/>
    <m/>
    <m/>
    <x v="0"/>
  </r>
  <r>
    <s v="ЩНО1-03"/>
    <x v="0"/>
    <x v="1"/>
    <s v="Силовая сборка ЩНО1"/>
    <m/>
    <m/>
    <m/>
    <m/>
    <m/>
    <m/>
    <m/>
    <s v="Сборка с рубильником и предохранителем М2"/>
    <n v="85"/>
    <m/>
    <m/>
    <x v="0"/>
  </r>
  <r>
    <s v="ЩНО1-03.1"/>
    <x v="0"/>
    <x v="2"/>
    <s v="Сборка с рубильником и предохранителем М2"/>
    <m/>
    <m/>
    <m/>
    <m/>
    <m/>
    <m/>
    <m/>
    <s v="Распаячная коробка на мачте"/>
    <n v="30"/>
    <m/>
    <m/>
    <x v="0"/>
  </r>
  <r>
    <m/>
    <x v="1"/>
    <x v="3"/>
    <s v="Распаячная коробка на мачте"/>
    <m/>
    <m/>
    <m/>
    <m/>
    <m/>
    <m/>
    <m/>
    <s v="ПРА"/>
    <n v="9"/>
    <m/>
    <m/>
    <x v="0"/>
  </r>
  <r>
    <m/>
    <x v="2"/>
    <x v="4"/>
    <s v="ПРА"/>
    <m/>
    <m/>
    <m/>
    <m/>
    <m/>
    <m/>
    <m/>
    <s v="Прожектора"/>
    <n v="6"/>
    <m/>
    <m/>
    <x v="0"/>
  </r>
  <r>
    <s v="ЩНО1-04"/>
    <x v="0"/>
    <x v="1"/>
    <s v="Силовая сборка ЩНО1"/>
    <m/>
    <m/>
    <m/>
    <m/>
    <m/>
    <m/>
    <m/>
    <s v="Сборка с рубильником и предохранителем М3"/>
    <n v="60"/>
    <m/>
    <m/>
    <x v="0"/>
  </r>
  <r>
    <s v="ЩНО1-04.1"/>
    <x v="0"/>
    <x v="2"/>
    <s v="Сборка с рубильником и предохранителем М3"/>
    <m/>
    <m/>
    <m/>
    <m/>
    <m/>
    <m/>
    <m/>
    <s v="Распаячная коробка на мачте"/>
    <n v="25"/>
    <m/>
    <m/>
    <x v="0"/>
  </r>
  <r>
    <m/>
    <x v="1"/>
    <x v="3"/>
    <s v="Распаячная коробка на мачте"/>
    <m/>
    <m/>
    <m/>
    <m/>
    <m/>
    <m/>
    <m/>
    <s v="ПРА"/>
    <n v="6"/>
    <m/>
    <m/>
    <x v="0"/>
  </r>
  <r>
    <m/>
    <x v="2"/>
    <x v="4"/>
    <s v="ПРА"/>
    <m/>
    <m/>
    <m/>
    <m/>
    <m/>
    <m/>
    <m/>
    <s v="Прожектора"/>
    <n v="4"/>
    <m/>
    <m/>
    <x v="0"/>
  </r>
  <r>
    <s v="ЩНО1-05"/>
    <x v="0"/>
    <x v="1"/>
    <s v="Силовая сборка ЩНО1"/>
    <m/>
    <m/>
    <m/>
    <m/>
    <m/>
    <m/>
    <m/>
    <s v="Сборка с рубильником и предохранителем М4"/>
    <n v="100"/>
    <m/>
    <m/>
    <x v="0"/>
  </r>
  <r>
    <s v="ЩНО1-05.1"/>
    <x v="0"/>
    <x v="2"/>
    <s v="Сборка с рубильником и предохранителем М4"/>
    <m/>
    <m/>
    <m/>
    <m/>
    <m/>
    <m/>
    <m/>
    <s v="Распаячная коробка на мачте"/>
    <n v="25"/>
    <m/>
    <m/>
    <x v="0"/>
  </r>
  <r>
    <m/>
    <x v="1"/>
    <x v="3"/>
    <s v="Распаячная коробка на мачте"/>
    <m/>
    <m/>
    <m/>
    <m/>
    <m/>
    <m/>
    <m/>
    <s v="ПРА"/>
    <n v="6"/>
    <m/>
    <m/>
    <x v="0"/>
  </r>
  <r>
    <m/>
    <x v="2"/>
    <x v="4"/>
    <s v="ПРА"/>
    <m/>
    <m/>
    <m/>
    <m/>
    <m/>
    <m/>
    <m/>
    <s v="Прожектора"/>
    <n v="4"/>
    <m/>
    <m/>
    <x v="0"/>
  </r>
  <r>
    <m/>
    <x v="3"/>
    <x v="5"/>
    <m/>
    <m/>
    <m/>
    <m/>
    <m/>
    <m/>
    <m/>
    <m/>
    <m/>
    <m/>
    <m/>
    <m/>
    <x v="0"/>
  </r>
  <r>
    <m/>
    <x v="3"/>
    <x v="5"/>
    <m/>
    <m/>
    <m/>
    <m/>
    <m/>
    <m/>
    <m/>
    <m/>
    <m/>
    <m/>
    <m/>
    <m/>
    <x v="0"/>
  </r>
  <r>
    <m/>
    <x v="3"/>
    <x v="5"/>
    <m/>
    <m/>
    <m/>
    <m/>
    <m/>
    <m/>
    <m/>
    <m/>
    <m/>
    <m/>
    <m/>
    <m/>
    <x v="0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3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TN1-01"/>
    <x v="4"/>
    <x v="6"/>
    <s v="ЗРУ 6 кВ 1 Секция панель 105"/>
    <m/>
    <m/>
    <m/>
    <m/>
    <m/>
    <m/>
    <m/>
    <s v="ТСН1"/>
    <n v="70"/>
    <m/>
    <m/>
    <x v="2"/>
  </r>
  <r>
    <s v="TN2-01"/>
    <x v="4"/>
    <x v="6"/>
    <s v="ЗРУ 6 кВ 2 Секция панель 203"/>
    <m/>
    <m/>
    <m/>
    <m/>
    <m/>
    <m/>
    <m/>
    <s v="ТСН2"/>
    <n v="65"/>
    <m/>
    <m/>
    <x v="2"/>
  </r>
  <r>
    <s v="TN1-02"/>
    <x v="0"/>
    <x v="7"/>
    <s v="ТСН1"/>
    <m/>
    <m/>
    <m/>
    <m/>
    <m/>
    <m/>
    <m/>
    <s v="ЩСН Секция 1 Панель 2"/>
    <n v="75"/>
    <m/>
    <m/>
    <x v="2"/>
  </r>
  <r>
    <s v="TN2-02"/>
    <x v="0"/>
    <x v="7"/>
    <s v="ТСН2"/>
    <m/>
    <m/>
    <m/>
    <m/>
    <m/>
    <m/>
    <m/>
    <s v="ЩСН Секция 2 Панель 4"/>
    <n v="70"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4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ШС6-01"/>
    <x v="0"/>
    <x v="8"/>
    <s v="Ввод от ЩСН секция 1"/>
    <m/>
    <m/>
    <m/>
    <m/>
    <m/>
    <m/>
    <m/>
    <s v="Силовая сборка ШС6"/>
    <n v="90"/>
    <m/>
    <m/>
    <x v="3"/>
  </r>
  <r>
    <s v="ШС6-02"/>
    <x v="0"/>
    <x v="8"/>
    <s v="Ввод от ЩСН секция 2"/>
    <m/>
    <m/>
    <m/>
    <m/>
    <m/>
    <m/>
    <m/>
    <s v="Силовая сборка ШС6"/>
    <n v="90"/>
    <m/>
    <m/>
    <x v="3"/>
  </r>
  <r>
    <s v="ШС6-03.1"/>
    <x v="0"/>
    <x v="4"/>
    <s v="Силовая сборка ШС6"/>
    <m/>
    <m/>
    <m/>
    <m/>
    <m/>
    <m/>
    <m/>
    <s v="Освещение ЗРУ 6 кВ Шлейф 1"/>
    <n v="45"/>
    <m/>
    <m/>
    <x v="3"/>
  </r>
  <r>
    <s v="ШС6-03.2"/>
    <x v="0"/>
    <x v="9"/>
    <s v="Силовая сборка ШС6"/>
    <m/>
    <m/>
    <m/>
    <m/>
    <m/>
    <m/>
    <m/>
    <s v="Освещение ЗРУ 6 кВ Шлейф 1"/>
    <n v="30"/>
    <m/>
    <m/>
    <x v="3"/>
  </r>
  <r>
    <s v="ШС6-04.1"/>
    <x v="0"/>
    <x v="4"/>
    <s v="Силовая сборка ШС6"/>
    <m/>
    <m/>
    <m/>
    <m/>
    <m/>
    <m/>
    <m/>
    <s v="Освещение ЗРУ 6 кВ Шлейф 2"/>
    <n v="45"/>
    <m/>
    <m/>
    <x v="3"/>
  </r>
  <r>
    <s v="ШС6-04.2"/>
    <x v="0"/>
    <x v="9"/>
    <s v="Силовая сборка ШС6"/>
    <m/>
    <m/>
    <m/>
    <m/>
    <m/>
    <m/>
    <m/>
    <s v="Освещение ЗРУ 6 кВ Шлейф 2"/>
    <n v="30"/>
    <m/>
    <m/>
    <x v="3"/>
  </r>
  <r>
    <s v="ШС6-05"/>
    <x v="0"/>
    <x v="4"/>
    <s v="Силовая сборка ШС6"/>
    <m/>
    <m/>
    <m/>
    <m/>
    <m/>
    <m/>
    <m/>
    <s v="Освещение входов ЗРУ 6 кВ"/>
    <n v="50"/>
    <m/>
    <m/>
    <x v="3"/>
  </r>
  <r>
    <s v="ШС6-06"/>
    <x v="0"/>
    <x v="3"/>
    <s v="Силовая сборка ШС6"/>
    <m/>
    <m/>
    <m/>
    <m/>
    <m/>
    <m/>
    <m/>
    <s v="Штепсельная сеть"/>
    <n v="70"/>
    <m/>
    <m/>
    <x v="3"/>
  </r>
  <r>
    <s v="ШС6-07"/>
    <x v="0"/>
    <x v="10"/>
    <s v="Силовая сборка ШС6"/>
    <m/>
    <m/>
    <m/>
    <m/>
    <m/>
    <m/>
    <m/>
    <s v="АПОШ Секция 1. Освещение"/>
    <n v="25"/>
    <m/>
    <m/>
    <x v="3"/>
  </r>
  <r>
    <s v="ШС6-08"/>
    <x v="0"/>
    <x v="10"/>
    <s v="Силовая сборка ШС6"/>
    <m/>
    <m/>
    <m/>
    <m/>
    <m/>
    <m/>
    <m/>
    <s v="АПОШ Секция 1. Обогрев"/>
    <n v="25"/>
    <m/>
    <m/>
    <x v="3"/>
  </r>
  <r>
    <s v="ШС6-09"/>
    <x v="0"/>
    <x v="10"/>
    <s v="Силовая сборка ШС6"/>
    <m/>
    <m/>
    <m/>
    <m/>
    <m/>
    <m/>
    <m/>
    <s v="АПОШ Секция 2. Освещение"/>
    <n v="5"/>
    <m/>
    <m/>
    <x v="3"/>
  </r>
  <r>
    <s v="ШС6-10"/>
    <x v="0"/>
    <x v="10"/>
    <s v="Силовая сборка ШС6"/>
    <m/>
    <m/>
    <m/>
    <m/>
    <m/>
    <m/>
    <m/>
    <s v="АПОШ Секция 2. Обогрев"/>
    <n v="5"/>
    <m/>
    <m/>
    <x v="3"/>
  </r>
  <r>
    <s v="ШС6-11.1"/>
    <x v="0"/>
    <x v="2"/>
    <s v="Силовая сборка ШС6"/>
    <m/>
    <m/>
    <m/>
    <m/>
    <m/>
    <m/>
    <m/>
    <s v="Отопление ЗРУ 6 кВ"/>
    <n v="10"/>
    <m/>
    <m/>
    <x v="3"/>
  </r>
  <r>
    <s v="ШС6-11.2"/>
    <x v="0"/>
    <x v="3"/>
    <s v="Силовая сборка ШС6"/>
    <m/>
    <m/>
    <m/>
    <m/>
    <m/>
    <m/>
    <m/>
    <s v="Отопление ЗРУ 6 кВ"/>
    <n v="50"/>
    <m/>
    <m/>
    <x v="3"/>
  </r>
  <r>
    <s v="ШС6-12"/>
    <x v="0"/>
    <x v="3"/>
    <s v="Силовая сборка ШС6"/>
    <m/>
    <m/>
    <m/>
    <m/>
    <m/>
    <m/>
    <m/>
    <s v="Питание вентилятора В1"/>
    <n v="20"/>
    <m/>
    <m/>
    <x v="3"/>
  </r>
  <r>
    <s v="ЩАО3-01"/>
    <x v="0"/>
    <x v="11"/>
    <s v="Ввод от БАО"/>
    <m/>
    <m/>
    <m/>
    <m/>
    <m/>
    <m/>
    <m/>
    <s v="Силовая сборка ЩАО3"/>
    <n v="100"/>
    <m/>
    <m/>
    <x v="3"/>
  </r>
  <r>
    <s v="ЩАО3-02"/>
    <x v="5"/>
    <x v="4"/>
    <s v="Силовая сборка ЩАО3"/>
    <m/>
    <m/>
    <m/>
    <m/>
    <m/>
    <m/>
    <m/>
    <s v="Аварийное освещение ЗРУ 6 кВ"/>
    <n v="55"/>
    <m/>
    <m/>
    <x v="3"/>
  </r>
  <r>
    <s v="ЩАО3-02"/>
    <x v="0"/>
    <x v="4"/>
    <s v="Силовая сборка ЩАО3"/>
    <m/>
    <m/>
    <m/>
    <m/>
    <m/>
    <m/>
    <m/>
    <s v="Аварийные светильники выход"/>
    <n v="55"/>
    <m/>
    <m/>
    <x v="3"/>
  </r>
  <r>
    <m/>
    <x v="3"/>
    <x v="5"/>
    <m/>
    <m/>
    <m/>
    <m/>
    <m/>
    <m/>
    <m/>
    <m/>
    <m/>
    <m/>
    <m/>
    <m/>
    <x v="3"/>
  </r>
  <r>
    <m/>
    <x v="3"/>
    <x v="5"/>
    <m/>
    <m/>
    <m/>
    <m/>
    <m/>
    <m/>
    <m/>
    <m/>
    <m/>
    <m/>
    <m/>
    <m/>
    <x v="3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5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ЩАО1-01"/>
    <x v="5"/>
    <x v="12"/>
    <s v="БАО"/>
    <m/>
    <m/>
    <m/>
    <m/>
    <m/>
    <m/>
    <m/>
    <s v="Силовая сборка ЩАО1"/>
    <n v="34"/>
    <m/>
    <m/>
    <x v="4"/>
  </r>
  <r>
    <s v="ЩАО1-02"/>
    <x v="5"/>
    <x v="4"/>
    <s v="Силовая сборка ЩАО1"/>
    <m/>
    <m/>
    <m/>
    <m/>
    <m/>
    <m/>
    <m/>
    <s v="Аварийное освещение"/>
    <n v="47"/>
    <m/>
    <m/>
    <x v="4"/>
  </r>
  <r>
    <s v="ЩАО1-03"/>
    <x v="5"/>
    <x v="4"/>
    <s v="Силовая сборка ЩАО1"/>
    <m/>
    <m/>
    <m/>
    <m/>
    <m/>
    <m/>
    <m/>
    <s v="Аварийное освещение"/>
    <n v="26"/>
    <m/>
    <m/>
    <x v="4"/>
  </r>
  <r>
    <s v="ЩАО1-04"/>
    <x v="5"/>
    <x v="4"/>
    <s v="Силовая сборка ЩАО1"/>
    <m/>
    <m/>
    <m/>
    <m/>
    <m/>
    <m/>
    <m/>
    <s v="Аварийное освещение"/>
    <n v="23"/>
    <m/>
    <m/>
    <x v="4"/>
  </r>
  <r>
    <s v="ЩАО1-05"/>
    <x v="5"/>
    <x v="4"/>
    <s v="Силовая сборка ЩАО1"/>
    <m/>
    <m/>
    <m/>
    <m/>
    <m/>
    <m/>
    <m/>
    <s v="Аварийное освещение"/>
    <n v="41"/>
    <m/>
    <m/>
    <x v="4"/>
  </r>
  <r>
    <s v="ЩАО1-06"/>
    <x v="5"/>
    <x v="4"/>
    <s v="Силовая сборка ЩАО1"/>
    <m/>
    <m/>
    <m/>
    <m/>
    <m/>
    <m/>
    <m/>
    <s v="Аварийное освещение"/>
    <n v="105"/>
    <m/>
    <m/>
    <x v="4"/>
  </r>
  <r>
    <s v="ЩАО1-07"/>
    <x v="5"/>
    <x v="4"/>
    <s v="Силовая сборка ЩАО1"/>
    <m/>
    <m/>
    <m/>
    <m/>
    <m/>
    <m/>
    <m/>
    <s v="Аварийное освещение"/>
    <n v="119"/>
    <m/>
    <m/>
    <x v="4"/>
  </r>
  <r>
    <s v="ЩАО2-01"/>
    <x v="5"/>
    <x v="12"/>
    <s v="БАО"/>
    <m/>
    <m/>
    <m/>
    <m/>
    <m/>
    <m/>
    <m/>
    <s v="Силовая сборка ЩАО2"/>
    <n v="36"/>
    <m/>
    <m/>
    <x v="4"/>
  </r>
  <r>
    <s v="ЩАО2-02"/>
    <x v="5"/>
    <x v="4"/>
    <s v="Силовая сборка ЩАО2"/>
    <m/>
    <m/>
    <m/>
    <m/>
    <m/>
    <m/>
    <m/>
    <s v="Аварийное освещение"/>
    <n v="38"/>
    <m/>
    <m/>
    <x v="4"/>
  </r>
  <r>
    <s v="ЩАО2-03"/>
    <x v="5"/>
    <x v="4"/>
    <s v="Силовая сборка ЩАО2"/>
    <m/>
    <m/>
    <m/>
    <m/>
    <m/>
    <m/>
    <m/>
    <s v="Аварийное освещение"/>
    <n v="43"/>
    <m/>
    <m/>
    <x v="4"/>
  </r>
  <r>
    <s v="ЩАО2-04"/>
    <x v="5"/>
    <x v="4"/>
    <s v="Силовая сборка ЩАО2"/>
    <m/>
    <m/>
    <m/>
    <m/>
    <m/>
    <m/>
    <m/>
    <s v="Аварийное освещение"/>
    <n v="38"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6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ЩО1-01"/>
    <x v="0"/>
    <x v="0"/>
    <s v="Ввот от ЩСН 1 секция 1 панель"/>
    <m/>
    <m/>
    <m/>
    <m/>
    <m/>
    <m/>
    <m/>
    <s v="Силовая сборка ЩО1"/>
    <n v="22"/>
    <m/>
    <m/>
    <x v="4"/>
  </r>
  <r>
    <s v="ЩО1-02.1"/>
    <x v="0"/>
    <x v="4"/>
    <s v="Силовая сборка ЩО1"/>
    <m/>
    <m/>
    <m/>
    <m/>
    <m/>
    <m/>
    <m/>
    <s v="Светильники"/>
    <n v="58"/>
    <m/>
    <m/>
    <x v="4"/>
  </r>
  <r>
    <s v="ЩО1-02.2"/>
    <x v="0"/>
    <x v="9"/>
    <s v="Распаяные коробки"/>
    <m/>
    <m/>
    <m/>
    <m/>
    <m/>
    <m/>
    <m/>
    <s v="Светильники"/>
    <n v="28"/>
    <m/>
    <m/>
    <x v="4"/>
  </r>
  <r>
    <s v="ЩО1-03"/>
    <x v="0"/>
    <x v="4"/>
    <s v="Силовая сборка ЩО1"/>
    <m/>
    <m/>
    <m/>
    <m/>
    <m/>
    <m/>
    <m/>
    <s v="Светильники"/>
    <n v="67"/>
    <m/>
    <m/>
    <x v="4"/>
  </r>
  <r>
    <s v="ЩО1-04.1"/>
    <x v="0"/>
    <x v="4"/>
    <s v="Силовая сборка ЩО1"/>
    <m/>
    <m/>
    <m/>
    <m/>
    <m/>
    <m/>
    <m/>
    <s v="Светильники"/>
    <n v="100"/>
    <m/>
    <m/>
    <x v="4"/>
  </r>
  <r>
    <s v="ЩО1-04.2"/>
    <x v="0"/>
    <x v="9"/>
    <s v="Распаяные коробки"/>
    <m/>
    <m/>
    <m/>
    <m/>
    <m/>
    <m/>
    <m/>
    <s v="Светильники"/>
    <n v="40"/>
    <m/>
    <m/>
    <x v="4"/>
  </r>
  <r>
    <s v="ЩО1-05"/>
    <x v="0"/>
    <x v="3"/>
    <s v="Силовая сборка ЩО1"/>
    <m/>
    <m/>
    <m/>
    <m/>
    <m/>
    <m/>
    <m/>
    <s v="Штепсельная сеть 1"/>
    <n v="19"/>
    <m/>
    <m/>
    <x v="4"/>
  </r>
  <r>
    <s v="ЩО1-06"/>
    <x v="0"/>
    <x v="3"/>
    <s v="Силовая сборка ЩО1"/>
    <m/>
    <m/>
    <m/>
    <m/>
    <m/>
    <m/>
    <m/>
    <s v="Штепсельная сеть 2"/>
    <n v="68"/>
    <m/>
    <m/>
    <x v="4"/>
  </r>
  <r>
    <s v="ЩО1-07"/>
    <x v="0"/>
    <x v="3"/>
    <s v="Силовая сборка ЩО1"/>
    <m/>
    <m/>
    <m/>
    <m/>
    <m/>
    <m/>
    <m/>
    <s v="Штепсельная сеть 3"/>
    <n v="39"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7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ЩО2-01"/>
    <x v="0"/>
    <x v="0"/>
    <s v="Силовая сборка ЩО1"/>
    <m/>
    <m/>
    <m/>
    <m/>
    <m/>
    <m/>
    <m/>
    <s v="Силовая сборка ЩО2"/>
    <n v="34"/>
    <m/>
    <m/>
    <x v="4"/>
  </r>
  <r>
    <s v="ЩО2-02.1"/>
    <x v="0"/>
    <x v="4"/>
    <s v="Силовая сборка ЩО2"/>
    <m/>
    <m/>
    <m/>
    <m/>
    <m/>
    <m/>
    <m/>
    <s v="Освещение"/>
    <n v="82"/>
    <m/>
    <m/>
    <x v="4"/>
  </r>
  <r>
    <s v="ЩО2-02.2"/>
    <x v="0"/>
    <x v="9"/>
    <s v="Силовая сборка ЩО2"/>
    <m/>
    <m/>
    <m/>
    <m/>
    <m/>
    <m/>
    <m/>
    <s v="Освещение"/>
    <n v="30"/>
    <m/>
    <m/>
    <x v="4"/>
  </r>
  <r>
    <s v="ЩО2-03.1"/>
    <x v="0"/>
    <x v="4"/>
    <s v="Силовая сборка ЩО2"/>
    <m/>
    <m/>
    <m/>
    <m/>
    <m/>
    <m/>
    <m/>
    <s v="Освещение"/>
    <n v="44"/>
    <m/>
    <m/>
    <x v="4"/>
  </r>
  <r>
    <s v="ЩО2-03.2"/>
    <x v="0"/>
    <x v="9"/>
    <s v="Силовая сборка ЩО2"/>
    <m/>
    <m/>
    <m/>
    <m/>
    <m/>
    <m/>
    <m/>
    <s v="Освещение"/>
    <n v="22"/>
    <m/>
    <m/>
    <x v="4"/>
  </r>
  <r>
    <s v="ЩО2-04.1"/>
    <x v="0"/>
    <x v="4"/>
    <s v="Силовая сборка ЩО2"/>
    <m/>
    <m/>
    <m/>
    <m/>
    <m/>
    <m/>
    <m/>
    <s v="Освещение"/>
    <n v="50"/>
    <m/>
    <m/>
    <x v="4"/>
  </r>
  <r>
    <s v="ЩО2-04.2"/>
    <x v="0"/>
    <x v="9"/>
    <s v="Силовая сборка ЩО2"/>
    <m/>
    <m/>
    <m/>
    <m/>
    <m/>
    <m/>
    <m/>
    <s v="Освещение"/>
    <n v="22"/>
    <m/>
    <m/>
    <x v="4"/>
  </r>
  <r>
    <s v="ЩО2-05"/>
    <x v="0"/>
    <x v="3"/>
    <s v="Силовая сборка ЩО2"/>
    <m/>
    <m/>
    <m/>
    <m/>
    <m/>
    <m/>
    <m/>
    <s v="Штепсельная сеть"/>
    <n v="38"/>
    <m/>
    <m/>
    <x v="4"/>
  </r>
  <r>
    <s v="ЩО2-06"/>
    <x v="0"/>
    <x v="3"/>
    <s v="Силовая сборка ЩО2"/>
    <m/>
    <m/>
    <m/>
    <m/>
    <m/>
    <m/>
    <m/>
    <s v="Штепсельная сеть"/>
    <n v="38"/>
    <m/>
    <m/>
    <x v="4"/>
  </r>
  <r>
    <s v="ЩО2-07"/>
    <x v="0"/>
    <x v="3"/>
    <s v="Силовая сборка ЩО2"/>
    <m/>
    <m/>
    <m/>
    <m/>
    <m/>
    <m/>
    <m/>
    <s v="Штепсельная сеть"/>
    <n v="57"/>
    <m/>
    <m/>
    <x v="4"/>
  </r>
  <r>
    <s v="ЩО3-01"/>
    <x v="0"/>
    <x v="0"/>
    <s v="Силовая сборка ЩО1"/>
    <m/>
    <m/>
    <m/>
    <m/>
    <m/>
    <m/>
    <m/>
    <s v="Силовая сборка ЩО3"/>
    <n v="28"/>
    <m/>
    <m/>
    <x v="4"/>
  </r>
  <r>
    <s v="ЩО3-02.1"/>
    <x v="0"/>
    <x v="4"/>
    <s v="Силовая сборка ЩО3"/>
    <m/>
    <m/>
    <m/>
    <m/>
    <m/>
    <m/>
    <m/>
    <s v="Светильники"/>
    <n v="29"/>
    <m/>
    <m/>
    <x v="4"/>
  </r>
  <r>
    <s v="ЩО3-02.2"/>
    <x v="0"/>
    <x v="9"/>
    <s v="Силовая сборка ЩО3"/>
    <m/>
    <m/>
    <m/>
    <m/>
    <m/>
    <m/>
    <m/>
    <s v="Светильники"/>
    <n v="28"/>
    <m/>
    <m/>
    <x v="4"/>
  </r>
  <r>
    <s v="ЩО3-03"/>
    <x v="0"/>
    <x v="4"/>
    <s v="Силовая сборка ЩО3"/>
    <m/>
    <m/>
    <m/>
    <m/>
    <m/>
    <m/>
    <m/>
    <s v="Светильники"/>
    <n v="70"/>
    <m/>
    <m/>
    <x v="4"/>
  </r>
  <r>
    <s v="ЩО3-04"/>
    <x v="0"/>
    <x v="4"/>
    <s v="Силовая сборка ЩО3"/>
    <m/>
    <m/>
    <m/>
    <m/>
    <m/>
    <m/>
    <m/>
    <s v="Светильники"/>
    <n v="74"/>
    <m/>
    <m/>
    <x v="4"/>
  </r>
  <r>
    <s v="ЩО3-05"/>
    <x v="0"/>
    <x v="4"/>
    <s v="Силовая сборка ЩО3"/>
    <m/>
    <m/>
    <m/>
    <m/>
    <m/>
    <m/>
    <m/>
    <s v="Светильники"/>
    <n v="84"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8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DQAVR-01"/>
    <x v="5"/>
    <x v="0"/>
    <s v="ЩСН Секция 1 Панель 1"/>
    <m/>
    <m/>
    <m/>
    <m/>
    <m/>
    <m/>
    <m/>
    <s v="Шкаф DQAVR. Ввод 1"/>
    <n v="23"/>
    <m/>
    <m/>
    <x v="5"/>
  </r>
  <r>
    <s v="DQAVR-02"/>
    <x v="5"/>
    <x v="0"/>
    <s v="ЩСН Секция 2 Панель 5"/>
    <m/>
    <m/>
    <m/>
    <m/>
    <m/>
    <m/>
    <m/>
    <s v="Шкаф DQAVR. Ввод 2"/>
    <n v="23"/>
    <m/>
    <m/>
    <x v="5"/>
  </r>
  <r>
    <s v="АСТУ-01"/>
    <x v="0"/>
    <x v="11"/>
    <s v="ЩСН Секция 1 Панель 1"/>
    <m/>
    <m/>
    <m/>
    <m/>
    <m/>
    <m/>
    <m/>
    <s v="АСТУ и ТМ. Шкаф №34. Ввод 1"/>
    <n v="32"/>
    <m/>
    <m/>
    <x v="5"/>
  </r>
  <r>
    <s v="АСТУ-02"/>
    <x v="0"/>
    <x v="11"/>
    <s v="ЩСН Секция 2 Панель 5"/>
    <m/>
    <m/>
    <m/>
    <m/>
    <m/>
    <m/>
    <m/>
    <s v="АСТУ и ТМ. Шкаф №34. Ввод 2"/>
    <n v="40"/>
    <m/>
    <m/>
    <x v="5"/>
  </r>
  <r>
    <s v="ДГР-01"/>
    <x v="0"/>
    <x v="0"/>
    <s v="ЩСН Секция 1 Панель 1"/>
    <m/>
    <m/>
    <m/>
    <m/>
    <m/>
    <m/>
    <m/>
    <s v="ДГР. Секция 1"/>
    <n v="32"/>
    <m/>
    <m/>
    <x v="5"/>
  </r>
  <r>
    <s v="ДГР-02"/>
    <x v="0"/>
    <x v="0"/>
    <s v="ЩСН Секция 2 Панель 5"/>
    <m/>
    <m/>
    <m/>
    <m/>
    <m/>
    <m/>
    <m/>
    <s v="ДГР. Секция 2"/>
    <n v="44"/>
    <m/>
    <m/>
    <x v="5"/>
  </r>
  <r>
    <s v="ЗУ-01"/>
    <x v="0"/>
    <x v="8"/>
    <s v="ЩСН Секция 1 Панель 1"/>
    <m/>
    <m/>
    <m/>
    <m/>
    <m/>
    <m/>
    <m/>
    <s v="ЗУ1"/>
    <n v="27"/>
    <m/>
    <m/>
    <x v="5"/>
  </r>
  <r>
    <s v="ЗУ-02"/>
    <x v="0"/>
    <x v="8"/>
    <s v="ЩСН Секция 2 Панель 5"/>
    <m/>
    <m/>
    <m/>
    <m/>
    <m/>
    <m/>
    <m/>
    <s v="ЗУ2"/>
    <n v="70"/>
    <m/>
    <m/>
    <x v="5"/>
  </r>
  <r>
    <s v="РЗА-01"/>
    <x v="0"/>
    <x v="8"/>
    <s v="ЩСН Секция 1 Панель 1"/>
    <m/>
    <m/>
    <m/>
    <m/>
    <m/>
    <m/>
    <m/>
    <s v="Питание панелей РЗА. Ввод 1"/>
    <n v="25"/>
    <m/>
    <m/>
    <x v="5"/>
  </r>
  <r>
    <s v="РЗА-02"/>
    <x v="0"/>
    <x v="8"/>
    <s v="ЩСН Секция 2 Панель 5"/>
    <m/>
    <m/>
    <m/>
    <m/>
    <m/>
    <m/>
    <m/>
    <s v="Питание панеле1 РЗА. Ввод 2"/>
    <n v="25"/>
    <m/>
    <m/>
    <x v="5"/>
  </r>
  <r>
    <s v="Т1-01"/>
    <x v="0"/>
    <x v="0"/>
    <s v="ЩСН Секция 1 Панель 1"/>
    <m/>
    <m/>
    <m/>
    <m/>
    <m/>
    <m/>
    <m/>
    <s v="Обдувка трансформатора Т1. Ввод 1"/>
    <n v="88"/>
    <m/>
    <m/>
    <x v="5"/>
  </r>
  <r>
    <s v="Т1-02"/>
    <x v="0"/>
    <x v="0"/>
    <s v="ЩСН Секция 2 Панель 5"/>
    <m/>
    <m/>
    <m/>
    <m/>
    <m/>
    <m/>
    <m/>
    <s v="Обдувка трансформатора Т1. Ввод 2"/>
    <n v="96"/>
    <m/>
    <m/>
    <x v="5"/>
  </r>
  <r>
    <s v="Т1-03"/>
    <x v="0"/>
    <x v="0"/>
    <s v="ЩСН Секция 1 Панель 1"/>
    <m/>
    <m/>
    <m/>
    <m/>
    <m/>
    <m/>
    <m/>
    <s v="АРКТ Т1. Шкаф №24"/>
    <n v="30"/>
    <m/>
    <m/>
    <x v="5"/>
  </r>
  <r>
    <s v="Т2-01"/>
    <x v="0"/>
    <x v="0"/>
    <s v="ЩСН Секция 1 Панель 1"/>
    <m/>
    <m/>
    <m/>
    <m/>
    <m/>
    <m/>
    <m/>
    <s v="Обдувка трансформатора Т2. Ввод 1"/>
    <n v="74"/>
    <m/>
    <m/>
    <x v="5"/>
  </r>
  <r>
    <s v="Т2-02"/>
    <x v="0"/>
    <x v="0"/>
    <s v="ЩСН Секция 2 Панель 5"/>
    <m/>
    <m/>
    <m/>
    <m/>
    <m/>
    <m/>
    <m/>
    <s v="Обдувка трансформатора Т2. Ввод 2"/>
    <n v="82"/>
    <m/>
    <m/>
    <x v="5"/>
  </r>
  <r>
    <s v="Т2-03"/>
    <x v="0"/>
    <x v="0"/>
    <s v="ЩСН Секция 2 Панель 5"/>
    <m/>
    <m/>
    <m/>
    <m/>
    <m/>
    <m/>
    <m/>
    <s v="АРКТ Т2. Шкаф №24"/>
    <n v="34"/>
    <m/>
    <m/>
    <x v="5"/>
  </r>
  <r>
    <s v="Т4-01"/>
    <x v="0"/>
    <x v="0"/>
    <s v="ЩСН Секция 1 Панель 1"/>
    <m/>
    <m/>
    <m/>
    <m/>
    <m/>
    <m/>
    <m/>
    <s v="Обдувка трансформатора Т4. Ввод 1"/>
    <n v="113"/>
    <m/>
    <m/>
    <x v="5"/>
  </r>
  <r>
    <s v="Т4-02"/>
    <x v="0"/>
    <x v="0"/>
    <s v="ЩСН Секция 2 Панель 5"/>
    <m/>
    <m/>
    <m/>
    <m/>
    <m/>
    <m/>
    <m/>
    <s v="Обдувка трансформатора Т4. Ввод 2"/>
    <n v="110"/>
    <m/>
    <m/>
    <x v="5"/>
  </r>
  <r>
    <s v="Т4-03"/>
    <x v="0"/>
    <x v="0"/>
    <s v="ЩСН Секция 1 Панель 1"/>
    <m/>
    <m/>
    <m/>
    <m/>
    <m/>
    <m/>
    <m/>
    <s v="АРКТ Т4. Шкаф №26"/>
    <n v="31"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9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ППУ-01"/>
    <x v="5"/>
    <x v="0"/>
    <s v="ЩСН Секция 1 Панель 1"/>
    <m/>
    <m/>
    <m/>
    <m/>
    <m/>
    <m/>
    <m/>
    <s v="ППУ. Ввод 1"/>
    <n v="23"/>
    <m/>
    <m/>
    <x v="5"/>
  </r>
  <r>
    <s v="ППУ-02"/>
    <x v="5"/>
    <x v="0"/>
    <s v="ЩСН Секция 2 Панель 5"/>
    <m/>
    <m/>
    <m/>
    <m/>
    <m/>
    <m/>
    <m/>
    <s v="ППУ. Ввод 2"/>
    <n v="23"/>
    <m/>
    <m/>
    <x v="5"/>
  </r>
  <r>
    <s v="ППУ-03"/>
    <x v="5"/>
    <x v="12"/>
    <s v="ППУ"/>
    <m/>
    <m/>
    <m/>
    <m/>
    <m/>
    <m/>
    <m/>
    <s v="Питание шкафа БАО"/>
    <n v="27"/>
    <m/>
    <m/>
    <x v="5"/>
  </r>
  <r>
    <s v="ТСО-01"/>
    <x v="0"/>
    <x v="0"/>
    <s v="ЩСН Секция 1 Панель 1"/>
    <m/>
    <m/>
    <m/>
    <m/>
    <m/>
    <m/>
    <m/>
    <s v="ТСО. Оборудование связи. Ввод 1"/>
    <n v="25"/>
    <m/>
    <m/>
    <x v="5"/>
  </r>
  <r>
    <s v="ТСО-02"/>
    <x v="0"/>
    <x v="0"/>
    <s v="ЩСН Секция 2 Панель 5"/>
    <m/>
    <m/>
    <m/>
    <m/>
    <m/>
    <m/>
    <m/>
    <s v="ТСО. Оборудование связи. Ввод 2"/>
    <n v="25"/>
    <m/>
    <m/>
    <x v="5"/>
  </r>
  <r>
    <s v="ШОВ1-01"/>
    <x v="0"/>
    <x v="0"/>
    <s v="ЩСН Секция 1 Панель 1"/>
    <m/>
    <m/>
    <m/>
    <m/>
    <m/>
    <m/>
    <m/>
    <s v="Силовая сборка ШОВ1"/>
    <n v="19"/>
    <m/>
    <m/>
    <x v="5"/>
  </r>
  <r>
    <s v="ШОВ1-02.1"/>
    <x v="0"/>
    <x v="12"/>
    <s v="Силовая сборка ШОВ1"/>
    <m/>
    <m/>
    <m/>
    <m/>
    <m/>
    <m/>
    <m/>
    <s v="Распаячная коробка"/>
    <n v="49"/>
    <m/>
    <m/>
    <x v="5"/>
  </r>
  <r>
    <s v="ШОВ1-02.2"/>
    <x v="0"/>
    <x v="3"/>
    <s v="Распаячная коробка"/>
    <m/>
    <m/>
    <m/>
    <m/>
    <m/>
    <m/>
    <m/>
    <s v="Отопление помещений 103, 105, 108, 112"/>
    <n v="12"/>
    <m/>
    <m/>
    <x v="5"/>
  </r>
  <r>
    <s v="ШОВ1-03.1"/>
    <x v="0"/>
    <x v="12"/>
    <s v="Силовая сборка ШОВ1"/>
    <m/>
    <m/>
    <m/>
    <m/>
    <m/>
    <m/>
    <m/>
    <s v="Распаячная коробка"/>
    <n v="59"/>
    <m/>
    <m/>
    <x v="5"/>
  </r>
  <r>
    <s v="ШОВ1-03.2"/>
    <x v="0"/>
    <x v="3"/>
    <s v="Силовая сборка ШОВ1"/>
    <m/>
    <m/>
    <m/>
    <m/>
    <m/>
    <m/>
    <m/>
    <s v="Отопление помещений 106, 108, 113, 114"/>
    <n v="11"/>
    <m/>
    <m/>
    <x v="5"/>
  </r>
  <r>
    <s v="ШОВ1-04"/>
    <x v="0"/>
    <x v="3"/>
    <s v="Силовая сборка ШОВ1"/>
    <m/>
    <m/>
    <m/>
    <m/>
    <m/>
    <m/>
    <m/>
    <s v="Сплит система помещения связи (К1)"/>
    <n v="22"/>
    <m/>
    <m/>
    <x v="5"/>
  </r>
  <r>
    <s v="ШОВ1-05"/>
    <x v="0"/>
    <x v="3"/>
    <s v="Силовая сборка ШОВ1"/>
    <m/>
    <m/>
    <m/>
    <m/>
    <m/>
    <m/>
    <m/>
    <s v="Сплит система помещения связи (К1а)"/>
    <n v="23"/>
    <m/>
    <m/>
    <x v="5"/>
  </r>
  <r>
    <s v="ШОВ1-06"/>
    <x v="0"/>
    <x v="3"/>
    <s v="Силовая сборка ШОВ1"/>
    <m/>
    <m/>
    <m/>
    <m/>
    <m/>
    <m/>
    <m/>
    <s v="Сплит система помещения ЩПТ (К2)"/>
    <n v="28"/>
    <m/>
    <m/>
    <x v="5"/>
  </r>
  <r>
    <s v="ШОВ1-07"/>
    <x v="0"/>
    <x v="3"/>
    <s v="Силовая сборка ШОВ1"/>
    <m/>
    <m/>
    <m/>
    <m/>
    <m/>
    <m/>
    <m/>
    <s v="Сплит система помещения ЩСН (К3)"/>
    <n v="24"/>
    <m/>
    <m/>
    <x v="5"/>
  </r>
  <r>
    <s v="ШОВ2-01"/>
    <x v="0"/>
    <x v="8"/>
    <s v="ЩСН Секция 2 Панель 4"/>
    <m/>
    <m/>
    <m/>
    <m/>
    <m/>
    <m/>
    <m/>
    <s v="Силовая сборка ШОВ2"/>
    <n v="31"/>
    <m/>
    <m/>
    <x v="5"/>
  </r>
  <r>
    <s v="ШОВ2-02 "/>
    <x v="0"/>
    <x v="2"/>
    <s v="Силовая сборка ШОВ2"/>
    <m/>
    <m/>
    <m/>
    <m/>
    <m/>
    <m/>
    <m/>
    <s v="Сплит система помещения РЗА (К5)"/>
    <n v="26"/>
    <m/>
    <m/>
    <x v="5"/>
  </r>
  <r>
    <s v="ШОВ2-03 "/>
    <x v="0"/>
    <x v="2"/>
    <s v="Силовая сборка ШОВ2"/>
    <m/>
    <m/>
    <m/>
    <m/>
    <m/>
    <m/>
    <m/>
    <s v="Сплит система помещения РЗА (К5а)"/>
    <n v="29"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10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ШОВ2-04 "/>
    <x v="0"/>
    <x v="2"/>
    <s v="Силовая сборка ШОВ2"/>
    <m/>
    <m/>
    <m/>
    <m/>
    <m/>
    <m/>
    <m/>
    <s v="Питание вентиляции П1"/>
    <n v="16"/>
    <m/>
    <m/>
    <x v="5"/>
  </r>
  <r>
    <s v="ШОВ2-05 "/>
    <x v="0"/>
    <x v="2"/>
    <s v="Силовая сборка ШОВ2"/>
    <m/>
    <m/>
    <m/>
    <m/>
    <m/>
    <m/>
    <m/>
    <s v="Питание вентиляции В1, В1а"/>
    <n v="19"/>
    <m/>
    <m/>
    <x v="5"/>
  </r>
  <r>
    <s v="ШОВ2-06 "/>
    <x v="0"/>
    <x v="3"/>
    <s v="Силовая сборка ШОВ2"/>
    <m/>
    <m/>
    <m/>
    <m/>
    <m/>
    <m/>
    <m/>
    <s v="Сплит система помещения АРМ (К4)"/>
    <n v="27"/>
    <m/>
    <m/>
    <x v="5"/>
  </r>
  <r>
    <s v="ШОВ2-07"/>
    <x v="0"/>
    <x v="3"/>
    <s v="Силовая сборка ШОВ2"/>
    <m/>
    <m/>
    <m/>
    <m/>
    <m/>
    <m/>
    <m/>
    <s v="Отопление помещения АРМ (203)"/>
    <n v="27"/>
    <m/>
    <m/>
    <x v="5"/>
  </r>
  <r>
    <s v="ШОВ2-08.1"/>
    <x v="0"/>
    <x v="12"/>
    <s v="Силовая сборка ШОВ2"/>
    <m/>
    <m/>
    <m/>
    <m/>
    <m/>
    <m/>
    <m/>
    <s v="Распаячная коробка"/>
    <n v="32"/>
    <m/>
    <m/>
    <x v="5"/>
  </r>
  <r>
    <s v="ШОВ2-08.2"/>
    <x v="0"/>
    <x v="3"/>
    <s v="Распаячная коробка"/>
    <m/>
    <m/>
    <m/>
    <m/>
    <m/>
    <m/>
    <m/>
    <s v="Отопление помещения РЗА (205)"/>
    <n v="11"/>
    <m/>
    <m/>
    <x v="5"/>
  </r>
  <r>
    <s v="ШОВ2-09"/>
    <x v="0"/>
    <x v="3"/>
    <s v="Силовая сборка ШОВ2"/>
    <m/>
    <m/>
    <m/>
    <m/>
    <m/>
    <m/>
    <m/>
    <s v="Отопление Вентамер (201, 202)"/>
    <n v="30"/>
    <m/>
    <m/>
    <x v="5"/>
  </r>
  <r>
    <s v="ШОВ3-01"/>
    <x v="0"/>
    <x v="8"/>
    <s v="ЩСН Секция 1 Панель 2"/>
    <m/>
    <m/>
    <m/>
    <m/>
    <m/>
    <m/>
    <m/>
    <s v="Силовая сборка ШОВ3"/>
    <n v="40"/>
    <m/>
    <m/>
    <x v="5"/>
  </r>
  <r>
    <s v="ШОВ3-02.1"/>
    <x v="0"/>
    <x v="13"/>
    <s v="Силовая сборка ШОВ3"/>
    <m/>
    <m/>
    <m/>
    <m/>
    <m/>
    <m/>
    <m/>
    <s v="Распаячная коробка"/>
    <n v="48"/>
    <m/>
    <m/>
    <x v="5"/>
  </r>
  <r>
    <s v="ШОВ3-02.2"/>
    <x v="0"/>
    <x v="3"/>
    <s v="Распаячная коробка"/>
    <m/>
    <m/>
    <m/>
    <m/>
    <m/>
    <m/>
    <m/>
    <s v="Отопление помещения КРУЭ 101. Шлейф 1"/>
    <n v="26"/>
    <m/>
    <m/>
    <x v="5"/>
  </r>
  <r>
    <s v="ШОВ3-03.1"/>
    <x v="0"/>
    <x v="13"/>
    <s v="Силовая сборка ШОВ3"/>
    <m/>
    <m/>
    <m/>
    <m/>
    <m/>
    <m/>
    <m/>
    <s v="Распаячная коробка"/>
    <n v="59"/>
    <m/>
    <m/>
    <x v="5"/>
  </r>
  <r>
    <s v="ШОВ3-03.2"/>
    <x v="0"/>
    <x v="3"/>
    <s v="Распаячная коробка"/>
    <m/>
    <m/>
    <m/>
    <m/>
    <m/>
    <m/>
    <m/>
    <s v="Отопление помещения КРУЭ 101. Шлейф 2"/>
    <n v="26"/>
    <m/>
    <m/>
    <x v="5"/>
  </r>
  <r>
    <s v="ШОВ3-04"/>
    <x v="0"/>
    <x v="3"/>
    <s v="Силовая сборка ШОВ3"/>
    <m/>
    <m/>
    <m/>
    <m/>
    <m/>
    <m/>
    <m/>
    <s v="Отопление помещения КРУЭ 101. Шлейф 3"/>
    <n v="16"/>
    <m/>
    <m/>
    <x v="5"/>
  </r>
  <r>
    <s v="ШОВ3-06"/>
    <x v="0"/>
    <x v="3"/>
    <s v="Силовая сборка ШОВ3"/>
    <m/>
    <m/>
    <m/>
    <m/>
    <m/>
    <m/>
    <m/>
    <s v="Питание вентиляции В2, В3"/>
    <n v="48"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11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ШС11-01"/>
    <x v="0"/>
    <x v="14"/>
    <s v="ЩСН Секция 1 Панель 1"/>
    <m/>
    <m/>
    <m/>
    <m/>
    <m/>
    <m/>
    <m/>
    <s v="Силовая сборка 11"/>
    <n v="44"/>
    <m/>
    <m/>
    <x v="5"/>
  </r>
  <r>
    <s v="ШС12-01"/>
    <x v="0"/>
    <x v="14"/>
    <s v="Силовая сборка 11"/>
    <m/>
    <m/>
    <m/>
    <m/>
    <m/>
    <m/>
    <m/>
    <s v="Силовая сборка 12"/>
    <n v="8"/>
    <m/>
    <m/>
    <x v="5"/>
  </r>
  <r>
    <s v="ШС13-01"/>
    <x v="0"/>
    <x v="14"/>
    <s v="Силовая сборка 12"/>
    <m/>
    <m/>
    <m/>
    <m/>
    <m/>
    <m/>
    <m/>
    <s v="Силовая сборка 13"/>
    <n v="8"/>
    <m/>
    <m/>
    <x v="5"/>
  </r>
  <r>
    <s v="ШС14-01"/>
    <x v="0"/>
    <x v="14"/>
    <s v="Силовая сборка 13"/>
    <m/>
    <m/>
    <m/>
    <m/>
    <m/>
    <m/>
    <m/>
    <s v="Силовая сборка 14"/>
    <n v="8"/>
    <m/>
    <m/>
    <x v="5"/>
  </r>
  <r>
    <s v="ШС15-01"/>
    <x v="0"/>
    <x v="14"/>
    <s v="Силовая сборка 14"/>
    <m/>
    <m/>
    <m/>
    <m/>
    <m/>
    <m/>
    <m/>
    <s v="Силовая сборка 15"/>
    <n v="8"/>
    <m/>
    <m/>
    <x v="5"/>
  </r>
  <r>
    <s v="ШС16-01"/>
    <x v="0"/>
    <x v="14"/>
    <s v="Силовая сборка 15"/>
    <m/>
    <m/>
    <m/>
    <m/>
    <m/>
    <m/>
    <m/>
    <s v="Силовая сборка 16"/>
    <n v="11"/>
    <m/>
    <m/>
    <x v="5"/>
  </r>
  <r>
    <s v="ШС17-01"/>
    <x v="0"/>
    <x v="14"/>
    <s v="Силовая сборка 16"/>
    <m/>
    <m/>
    <m/>
    <m/>
    <m/>
    <m/>
    <m/>
    <s v="Силовая сборка 17"/>
    <n v="8"/>
    <m/>
    <m/>
    <x v="5"/>
  </r>
  <r>
    <s v="ШС18-01"/>
    <x v="0"/>
    <x v="14"/>
    <s v="Силовая сборка 17"/>
    <m/>
    <m/>
    <m/>
    <m/>
    <m/>
    <m/>
    <m/>
    <s v="Силовая сборка 18"/>
    <n v="8"/>
    <m/>
    <m/>
    <x v="5"/>
  </r>
  <r>
    <s v="ШС19-01"/>
    <x v="0"/>
    <x v="14"/>
    <s v="Силовая сборка 18"/>
    <m/>
    <m/>
    <m/>
    <m/>
    <m/>
    <m/>
    <m/>
    <s v="Силовая сборка 19"/>
    <n v="12"/>
    <m/>
    <m/>
    <x v="5"/>
  </r>
  <r>
    <s v="ШС20-01"/>
    <x v="0"/>
    <x v="14"/>
    <s v="Силовая сборка 19"/>
    <m/>
    <m/>
    <m/>
    <m/>
    <m/>
    <m/>
    <m/>
    <s v="Силовая сборка 20"/>
    <n v="8"/>
    <m/>
    <m/>
    <x v="5"/>
  </r>
  <r>
    <s v="ШС20-02"/>
    <x v="0"/>
    <x v="14"/>
    <s v="ЩСН Секция 2 Панель 5"/>
    <m/>
    <m/>
    <m/>
    <m/>
    <m/>
    <m/>
    <m/>
    <s v="Силовая сборка 20"/>
    <n v="68"/>
    <m/>
    <m/>
    <x v="5"/>
  </r>
  <r>
    <s v="ШС31-01"/>
    <x v="0"/>
    <x v="0"/>
    <s v="ЩСН Секция 1 Панель 2"/>
    <m/>
    <m/>
    <m/>
    <m/>
    <m/>
    <m/>
    <m/>
    <s v="Силовая сборка 31"/>
    <n v="90"/>
    <m/>
    <m/>
    <x v="5"/>
  </r>
  <r>
    <s v="ШС31-02"/>
    <x v="0"/>
    <x v="2"/>
    <s v="Силовая сборка 31"/>
    <m/>
    <m/>
    <m/>
    <m/>
    <m/>
    <m/>
    <m/>
    <s v="Питание двигателя ЗОН1"/>
    <n v="14"/>
    <m/>
    <m/>
    <x v="5"/>
  </r>
  <r>
    <s v="ШС31-03"/>
    <x v="0"/>
    <x v="2"/>
    <s v="Силовая сборка 31"/>
    <m/>
    <m/>
    <m/>
    <m/>
    <m/>
    <m/>
    <m/>
    <s v="Питание двигателя ЗОН2"/>
    <n v="35"/>
    <m/>
    <m/>
    <x v="5"/>
  </r>
  <r>
    <s v="ШС31-04"/>
    <x v="0"/>
    <x v="3"/>
    <s v="Силовая сборка 31"/>
    <m/>
    <m/>
    <m/>
    <m/>
    <m/>
    <m/>
    <m/>
    <s v="Обогрев шкафа ЗОН1"/>
    <n v="14"/>
    <m/>
    <m/>
    <x v="5"/>
  </r>
  <r>
    <s v="ШС31-05"/>
    <x v="0"/>
    <x v="3"/>
    <s v="Силовая сборка 31"/>
    <m/>
    <m/>
    <m/>
    <m/>
    <m/>
    <m/>
    <m/>
    <s v="Обогрев шкафа ЗОН2"/>
    <n v="35"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12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ШС32-01"/>
    <x v="0"/>
    <x v="0"/>
    <s v="ЩСН Секция 2 Панель 4"/>
    <m/>
    <m/>
    <m/>
    <m/>
    <m/>
    <m/>
    <m/>
    <s v="Силовая сборка 32"/>
    <n v="127"/>
    <m/>
    <m/>
    <x v="5"/>
  </r>
  <r>
    <s v="ШС32-02"/>
    <x v="0"/>
    <x v="2"/>
    <s v="Силовая сборка 32"/>
    <m/>
    <m/>
    <m/>
    <m/>
    <m/>
    <m/>
    <m/>
    <s v="Питание двигателя разъединителя плавки гололеда 1"/>
    <n v="16"/>
    <m/>
    <m/>
    <x v="5"/>
  </r>
  <r>
    <s v="ШС32-03"/>
    <x v="0"/>
    <x v="2"/>
    <s v="Силовая сборка 32"/>
    <m/>
    <m/>
    <m/>
    <m/>
    <m/>
    <m/>
    <m/>
    <s v="Питание двигателя разъединителя плавки гололеда 2"/>
    <n v="21"/>
    <m/>
    <m/>
    <x v="5"/>
  </r>
  <r>
    <s v="ШС32-04"/>
    <x v="0"/>
    <x v="3"/>
    <s v="Силовая сборка 32"/>
    <m/>
    <m/>
    <m/>
    <m/>
    <m/>
    <m/>
    <m/>
    <s v="Обогрев двигателя разъединителя плавки гололеда 1"/>
    <n v="16"/>
    <m/>
    <m/>
    <x v="5"/>
  </r>
  <r>
    <s v="ШС32-05"/>
    <x v="0"/>
    <x v="3"/>
    <s v="Силовая сборка 32"/>
    <m/>
    <m/>
    <m/>
    <m/>
    <m/>
    <m/>
    <m/>
    <s v="Обогрев двигателя разъединителя плавки гололеда 2"/>
    <n v="21"/>
    <m/>
    <m/>
    <x v="5"/>
  </r>
  <r>
    <s v="ШС41-01"/>
    <x v="0"/>
    <x v="8"/>
    <s v="ЩСН Секция 1 Панель 1"/>
    <m/>
    <m/>
    <m/>
    <m/>
    <m/>
    <m/>
    <m/>
    <s v="Шкаф сварочной сети 41"/>
    <n v="25"/>
    <m/>
    <m/>
    <x v="5"/>
  </r>
  <r>
    <s v="ШС42-01"/>
    <x v="0"/>
    <x v="8"/>
    <s v="Шкаф сварочной сети 41"/>
    <m/>
    <m/>
    <m/>
    <m/>
    <m/>
    <m/>
    <m/>
    <s v="Шкаф сварочной сети 42"/>
    <n v="30"/>
    <m/>
    <m/>
    <x v="5"/>
  </r>
  <r>
    <s v="ШС43-01"/>
    <x v="0"/>
    <x v="8"/>
    <s v="Шкаф сварочной сети 41"/>
    <m/>
    <m/>
    <m/>
    <m/>
    <m/>
    <m/>
    <m/>
    <s v="Шкаф сварочной сети 43"/>
    <n v="50"/>
    <m/>
    <m/>
    <x v="5"/>
  </r>
  <r>
    <s v="ШС44-01"/>
    <x v="0"/>
    <x v="8"/>
    <s v="ЩСН Секция 2 Панель 5"/>
    <m/>
    <m/>
    <m/>
    <m/>
    <m/>
    <m/>
    <m/>
    <s v="Шкаф сварочной сети 44"/>
    <n v="51"/>
    <m/>
    <m/>
    <x v="5"/>
  </r>
  <r>
    <s v="ШС45-01"/>
    <x v="0"/>
    <x v="8"/>
    <s v="Шкаф сварочной сети 44"/>
    <m/>
    <m/>
    <m/>
    <m/>
    <m/>
    <m/>
    <m/>
    <s v="Шкаф сварочной сети 45"/>
    <n v="73"/>
    <m/>
    <m/>
    <x v="5"/>
  </r>
  <r>
    <s v="ШС46-01"/>
    <x v="0"/>
    <x v="8"/>
    <s v="Шкаф сварочной сети 44"/>
    <m/>
    <m/>
    <m/>
    <m/>
    <m/>
    <m/>
    <m/>
    <s v="Шкаф сварочной сети 46"/>
    <n v="118"/>
    <m/>
    <m/>
    <x v="5"/>
  </r>
  <r>
    <s v="ШС47-01"/>
    <x v="0"/>
    <x v="8"/>
    <s v="Шкаф сварочной сети 46"/>
    <m/>
    <m/>
    <m/>
    <m/>
    <m/>
    <m/>
    <m/>
    <s v="Шкаф сварочной сети 47"/>
    <n v="61"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13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КО1-02"/>
    <x v="0"/>
    <x v="0"/>
    <s v="ЩСН Секция 2 Панель 5"/>
    <m/>
    <m/>
    <m/>
    <m/>
    <m/>
    <m/>
    <m/>
    <s v="Шкаф силовой КО1"/>
    <n v="30"/>
    <m/>
    <m/>
    <x v="6"/>
  </r>
  <r>
    <s v="КО1-03"/>
    <x v="0"/>
    <x v="13"/>
    <s v="Шкаф силовой КО1"/>
    <m/>
    <m/>
    <m/>
    <m/>
    <m/>
    <m/>
    <m/>
    <s v="Силовая сборка КО2"/>
    <n v="20"/>
    <m/>
    <m/>
    <x v="6"/>
  </r>
  <r>
    <s v="КО1-04"/>
    <x v="0"/>
    <x v="13"/>
    <s v="Шкаф силовой КО1"/>
    <m/>
    <m/>
    <m/>
    <m/>
    <m/>
    <m/>
    <m/>
    <s v="Силовая сборка КО3"/>
    <n v="18"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14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ШС2-01"/>
    <x v="0"/>
    <x v="8"/>
    <s v="ЩСН Секция 2 Панель 5"/>
    <m/>
    <m/>
    <m/>
    <m/>
    <m/>
    <m/>
    <m/>
    <s v="Силовая сборка ШС2"/>
    <n v="20"/>
    <m/>
    <m/>
    <x v="7"/>
  </r>
  <r>
    <s v="ШС2-02"/>
    <x v="0"/>
    <x v="2"/>
    <s v="Силовая сборка ШС2"/>
    <m/>
    <m/>
    <m/>
    <m/>
    <m/>
    <m/>
    <m/>
    <s v="Обогрев зоны В-7"/>
    <n v="17"/>
    <m/>
    <m/>
    <x v="7"/>
  </r>
  <r>
    <s v="ШС2-03"/>
    <x v="0"/>
    <x v="2"/>
    <s v="Силовая сборка ШС2"/>
    <m/>
    <m/>
    <m/>
    <m/>
    <m/>
    <m/>
    <m/>
    <s v="Обогрев зоны В-11"/>
    <n v="14"/>
    <m/>
    <m/>
    <x v="7"/>
  </r>
  <r>
    <s v="ШС2-04"/>
    <x v="0"/>
    <x v="2"/>
    <s v="Силовая сборка ШС2"/>
    <m/>
    <m/>
    <m/>
    <m/>
    <m/>
    <m/>
    <m/>
    <s v="Обогрев зоны А-7"/>
    <n v="17"/>
    <m/>
    <m/>
    <x v="7"/>
  </r>
  <r>
    <s v="ШС2-05"/>
    <x v="0"/>
    <x v="2"/>
    <s v="Силовая сборка ШС2"/>
    <m/>
    <m/>
    <m/>
    <m/>
    <m/>
    <m/>
    <m/>
    <s v="Обогрев зоны А-11"/>
    <n v="14"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15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ФМЗО-01"/>
    <x v="4"/>
    <x v="6"/>
    <s v="ЗРУ 6 кВ. Ячейка №104"/>
    <m/>
    <m/>
    <m/>
    <m/>
    <m/>
    <m/>
    <m/>
    <s v="Фильтр присоединения ФМЗО1"/>
    <n v="55"/>
    <m/>
    <m/>
    <x v="8"/>
  </r>
  <r>
    <s v="ФМЗО-02"/>
    <x v="4"/>
    <x v="6"/>
    <s v="ЗРУ 6 кВ. Ячейка №202"/>
    <m/>
    <m/>
    <m/>
    <m/>
    <m/>
    <m/>
    <m/>
    <s v="Фильтр присоединения ФМЗО2"/>
    <n v="40"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16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m/>
    <x v="3"/>
    <x v="5"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3" cacheId="0" applyNumberFormats="0" applyBorderFormats="0" applyFontFormats="0" applyPatternFormats="0" applyAlignmentFormats="0" applyWidthHeightFormats="1" dataCaption="Значения" updatedVersion="5" minRefreshableVersion="3" showCalcMbrs="0" useAutoFormatting="1" itemPrintTitles="1" createdVersion="3" indent="0" outline="1" outlineData="1" multipleFieldFilters="0">
  <location ref="F2:AA14" firstHeaderRow="1" firstDataRow="3" firstDataCol="1"/>
  <pivotFields count="16">
    <pivotField showAll="0" defaultSubtotal="0"/>
    <pivotField axis="axisCol" showAll="0" defaultSubtotal="0">
      <items count="14">
        <item m="1" x="12"/>
        <item m="1" x="7"/>
        <item x="3"/>
        <item m="1" x="8"/>
        <item x="0"/>
        <item m="1" x="13"/>
        <item sd="0" m="1" x="10"/>
        <item x="5"/>
        <item m="1" x="11"/>
        <item m="1" x="9"/>
        <item m="1" x="6"/>
        <item x="1"/>
        <item x="2"/>
        <item x="4"/>
      </items>
    </pivotField>
    <pivotField axis="axisCol" showAll="0" defaultSubtotal="0">
      <items count="47">
        <item m="1" x="40"/>
        <item m="1" x="38"/>
        <item sd="0" m="1" x="37"/>
        <item x="5"/>
        <item m="1" x="31"/>
        <item m="1" x="17"/>
        <item m="1" x="43"/>
        <item m="1" x="22"/>
        <item m="1" x="32"/>
        <item m="1" x="44"/>
        <item m="1" x="45"/>
        <item m="1" x="25"/>
        <item m="1" x="27"/>
        <item m="1" x="39"/>
        <item m="1" x="42"/>
        <item m="1" x="15"/>
        <item m="1" x="29"/>
        <item m="1" x="24"/>
        <item m="1" x="41"/>
        <item m="1" x="20"/>
        <item m="1" x="28"/>
        <item m="1" x="46"/>
        <item m="1" x="30"/>
        <item m="1" x="33"/>
        <item m="1" x="21"/>
        <item m="1" x="19"/>
        <item m="1" x="35"/>
        <item m="1" x="34"/>
        <item m="1" x="36"/>
        <item x="0"/>
        <item x="1"/>
        <item m="1" x="18"/>
        <item m="1" x="26"/>
        <item m="1" x="23"/>
        <item x="6"/>
        <item x="7"/>
        <item x="8"/>
        <item m="1" x="16"/>
        <item x="10"/>
        <item x="11"/>
        <item x="12"/>
        <item x="4"/>
        <item x="9"/>
        <item x="3"/>
        <item x="2"/>
        <item x="13"/>
        <item x="1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axis="axisRow" showAll="0" defaultSubtotal="0">
      <items count="10">
        <item sd="0" m="1" x="9"/>
        <item x="1"/>
        <item sd="0" x="0"/>
        <item x="2"/>
        <item x="3"/>
        <item x="4"/>
        <item x="5"/>
        <item x="6"/>
        <item x="7"/>
        <item x="8"/>
      </items>
    </pivotField>
  </pivotFields>
  <rowFields count="1">
    <field x="15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1"/>
    <field x="2"/>
  </colFields>
  <colItems count="21">
    <i>
      <x v="2"/>
      <x v="3"/>
    </i>
    <i>
      <x v="4"/>
      <x v="29"/>
    </i>
    <i r="1">
      <x v="30"/>
    </i>
    <i r="1">
      <x v="35"/>
    </i>
    <i r="1">
      <x v="36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>
      <x v="7"/>
      <x v="29"/>
    </i>
    <i r="1">
      <x v="40"/>
    </i>
    <i r="1">
      <x v="41"/>
    </i>
    <i>
      <x v="11"/>
      <x v="43"/>
    </i>
    <i>
      <x v="12"/>
      <x v="41"/>
    </i>
    <i>
      <x v="13"/>
      <x v="34"/>
    </i>
    <i t="grand">
      <x/>
    </i>
  </colItems>
  <dataFields count="1">
    <dataField name="Длинна кабеля" fld="12" baseField="0" baseItem="0"/>
  </dataFields>
  <formats count="2">
    <format dxfId="1">
      <pivotArea dataOnly="0" labelOnly="1" fieldPosition="0">
        <references count="2">
          <reference field="4294967294" count="1" selected="0">
            <x v="0"/>
          </reference>
          <reference field="1" count="1">
            <x v="0"/>
          </reference>
        </references>
      </pivotArea>
    </format>
    <format dxfId="0">
      <pivotArea dataOnly="0" labelOnly="1" fieldPosition="0">
        <references count="2">
          <reference field="4294967294" count="1" selected="0">
            <x v="0"/>
          </reference>
          <reference field="1" count="1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СводнаяТаблица1" cacheId="0" applyNumberFormats="0" applyBorderFormats="0" applyFontFormats="0" applyPatternFormats="0" applyAlignmentFormats="0" applyWidthHeightFormats="1" dataCaption="Значения" updatedVersion="5" minRefreshableVersion="3" showCalcMbrs="0" useAutoFormatting="1" itemPrintTitles="1" createdVersion="3" indent="0" outline="1" outlineData="1" multipleFieldFilters="0">
  <location ref="B2:D72" firstHeaderRow="1" firstDataRow="2" firstDataCol="1"/>
  <pivotFields count="16">
    <pivotField showAll="0" defaultSubtotal="0"/>
    <pivotField axis="axisRow" showAll="0">
      <items count="15">
        <item m="1" x="12"/>
        <item m="1" x="7"/>
        <item sd="0" x="3"/>
        <item m="1" x="8"/>
        <item x="0"/>
        <item m="1" x="13"/>
        <item m="1" x="10"/>
        <item x="5"/>
        <item m="1" x="11"/>
        <item m="1" x="9"/>
        <item m="1" x="6"/>
        <item x="1"/>
        <item x="2"/>
        <item x="4"/>
        <item t="default"/>
      </items>
    </pivotField>
    <pivotField axis="axisRow" showAll="0">
      <items count="48">
        <item m="1" x="40"/>
        <item m="1" x="38"/>
        <item sd="0" m="1" x="37"/>
        <item x="5"/>
        <item m="1" x="31"/>
        <item m="1" x="17"/>
        <item m="1" x="43"/>
        <item sd="0" m="1" x="22"/>
        <item sd="0" m="1" x="32"/>
        <item m="1" x="44"/>
        <item sd="0" m="1" x="45"/>
        <item m="1" x="25"/>
        <item m="1" x="27"/>
        <item sd="0" m="1" x="39"/>
        <item m="1" x="42"/>
        <item m="1" x="15"/>
        <item sd="0" m="1" x="29"/>
        <item sd="0" m="1" x="24"/>
        <item m="1" x="41"/>
        <item sd="0" m="1" x="20"/>
        <item m="1" x="28"/>
        <item sd="0" m="1" x="46"/>
        <item sd="0" m="1" x="30"/>
        <item sd="0" m="1" x="33"/>
        <item sd="0" m="1" x="21"/>
        <item sd="0" m="1" x="19"/>
        <item sd="0" m="1" x="35"/>
        <item sd="0" m="1" x="34"/>
        <item sd="0" m="1" x="36"/>
        <item sd="0" x="0"/>
        <item sd="0" x="1"/>
        <item sd="0" m="1" x="18"/>
        <item m="1" x="26"/>
        <item m="1" x="23"/>
        <item x="6"/>
        <item x="7"/>
        <item x="8"/>
        <item m="1" x="16"/>
        <item x="10"/>
        <item x="11"/>
        <item x="12"/>
        <item x="4"/>
        <item x="9"/>
        <item x="3"/>
        <item x="2"/>
        <item x="13"/>
        <item x="14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 defaultSubtotal="0"/>
    <pivotField showAll="0" defaultSubtotal="0"/>
    <pivotField axis="axisRow" showAll="0">
      <items count="11">
        <item sd="0" m="1" x="9"/>
        <item x="1"/>
        <item x="0"/>
        <item x="2"/>
        <item x="3"/>
        <item x="4"/>
        <item x="5"/>
        <item x="6"/>
        <item x="7"/>
        <item x="8"/>
        <item t="default"/>
      </items>
    </pivotField>
  </pivotFields>
  <rowFields count="3">
    <field x="15"/>
    <field x="1"/>
    <field x="2"/>
  </rowFields>
  <rowItems count="69">
    <i>
      <x v="1"/>
    </i>
    <i r="1">
      <x v="2"/>
    </i>
    <i>
      <x v="2"/>
    </i>
    <i r="1">
      <x v="2"/>
    </i>
    <i r="1">
      <x v="4"/>
    </i>
    <i r="2">
      <x v="29"/>
    </i>
    <i r="2">
      <x v="30"/>
    </i>
    <i r="2">
      <x v="44"/>
    </i>
    <i r="1">
      <x v="11"/>
    </i>
    <i r="2">
      <x v="43"/>
    </i>
    <i r="1">
      <x v="12"/>
    </i>
    <i r="2">
      <x v="41"/>
    </i>
    <i>
      <x v="3"/>
    </i>
    <i r="1">
      <x v="2"/>
    </i>
    <i r="1">
      <x v="4"/>
    </i>
    <i r="2">
      <x v="35"/>
    </i>
    <i r="1">
      <x v="13"/>
    </i>
    <i r="2">
      <x v="34"/>
    </i>
    <i>
      <x v="4"/>
    </i>
    <i r="1">
      <x v="2"/>
    </i>
    <i r="1">
      <x v="4"/>
    </i>
    <i r="2">
      <x v="36"/>
    </i>
    <i r="2">
      <x v="38"/>
    </i>
    <i r="2">
      <x v="39"/>
    </i>
    <i r="2">
      <x v="41"/>
    </i>
    <i r="2">
      <x v="42"/>
    </i>
    <i r="2">
      <x v="43"/>
    </i>
    <i r="2">
      <x v="44"/>
    </i>
    <i r="1">
      <x v="7"/>
    </i>
    <i r="2">
      <x v="41"/>
    </i>
    <i>
      <x v="5"/>
    </i>
    <i r="1">
      <x v="2"/>
    </i>
    <i r="1">
      <x v="4"/>
    </i>
    <i r="2">
      <x v="29"/>
    </i>
    <i r="2">
      <x v="41"/>
    </i>
    <i r="2">
      <x v="42"/>
    </i>
    <i r="2">
      <x v="43"/>
    </i>
    <i r="1">
      <x v="7"/>
    </i>
    <i r="2">
      <x v="40"/>
    </i>
    <i r="2">
      <x v="41"/>
    </i>
    <i>
      <x v="6"/>
    </i>
    <i r="1">
      <x v="2"/>
    </i>
    <i r="1">
      <x v="4"/>
    </i>
    <i r="2">
      <x v="29"/>
    </i>
    <i r="2">
      <x v="36"/>
    </i>
    <i r="2">
      <x v="39"/>
    </i>
    <i r="2">
      <x v="40"/>
    </i>
    <i r="2">
      <x v="43"/>
    </i>
    <i r="2">
      <x v="44"/>
    </i>
    <i r="2">
      <x v="45"/>
    </i>
    <i r="2">
      <x v="46"/>
    </i>
    <i r="1">
      <x v="7"/>
    </i>
    <i r="2">
      <x v="29"/>
    </i>
    <i r="2">
      <x v="40"/>
    </i>
    <i>
      <x v="7"/>
    </i>
    <i r="1">
      <x v="2"/>
    </i>
    <i r="1">
      <x v="4"/>
    </i>
    <i r="2">
      <x v="29"/>
    </i>
    <i r="2">
      <x v="45"/>
    </i>
    <i>
      <x v="8"/>
    </i>
    <i r="1">
      <x v="2"/>
    </i>
    <i r="1">
      <x v="4"/>
    </i>
    <i r="2">
      <x v="36"/>
    </i>
    <i r="2">
      <x v="44"/>
    </i>
    <i>
      <x v="9"/>
    </i>
    <i r="1">
      <x v="2"/>
    </i>
    <i r="1">
      <x v="13"/>
    </i>
    <i r="2">
      <x v="34"/>
    </i>
    <i t="grand">
      <x/>
    </i>
  </rowItems>
  <colFields count="1">
    <field x="-2"/>
  </colFields>
  <colItems count="2">
    <i>
      <x/>
    </i>
    <i i="1">
      <x v="1"/>
    </i>
  </colItems>
  <dataFields count="2">
    <dataField name="Длинна кабеля" fld="12" baseField="0" baseItem="0"/>
    <dataField name="Разделок" fld="12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24"/>
  <sheetViews>
    <sheetView zoomScale="85" zoomScaleNormal="85" workbookViewId="0">
      <selection activeCell="C1" sqref="C1:G15"/>
    </sheetView>
  </sheetViews>
  <sheetFormatPr defaultRowHeight="15" x14ac:dyDescent="0.25"/>
  <cols>
    <col min="2" max="2" width="14.85546875" customWidth="1"/>
    <col min="5" max="5" width="11.85546875" customWidth="1"/>
  </cols>
  <sheetData>
    <row r="1" spans="1:10" x14ac:dyDescent="0.25">
      <c r="A1" t="s">
        <v>9</v>
      </c>
      <c r="B1" t="s">
        <v>95</v>
      </c>
      <c r="C1" t="s">
        <v>417</v>
      </c>
      <c r="D1" t="s">
        <v>418</v>
      </c>
      <c r="E1" s="1" t="s">
        <v>242</v>
      </c>
      <c r="F1" s="1" t="s">
        <v>419</v>
      </c>
      <c r="G1" s="1" t="s">
        <v>243</v>
      </c>
      <c r="H1" s="1"/>
    </row>
    <row r="2" spans="1:10" x14ac:dyDescent="0.25">
      <c r="A2" t="s">
        <v>7</v>
      </c>
      <c r="B2" t="s">
        <v>71</v>
      </c>
      <c r="C2" t="s">
        <v>420</v>
      </c>
      <c r="D2" t="s">
        <v>421</v>
      </c>
      <c r="E2" s="1" t="s">
        <v>244</v>
      </c>
      <c r="F2" s="1" t="s">
        <v>422</v>
      </c>
      <c r="G2" s="1" t="s">
        <v>245</v>
      </c>
      <c r="H2" s="1"/>
    </row>
    <row r="3" spans="1:10" x14ac:dyDescent="0.25">
      <c r="A3" t="s">
        <v>8</v>
      </c>
      <c r="B3" t="s">
        <v>73</v>
      </c>
      <c r="C3" t="s">
        <v>186</v>
      </c>
      <c r="D3" t="s">
        <v>187</v>
      </c>
      <c r="E3" s="1" t="s">
        <v>188</v>
      </c>
      <c r="F3" s="1" t="s">
        <v>189</v>
      </c>
      <c r="G3" s="1" t="s">
        <v>190</v>
      </c>
      <c r="H3" s="1"/>
      <c r="J3" s="1"/>
    </row>
    <row r="4" spans="1:10" x14ac:dyDescent="0.25">
      <c r="A4" t="s">
        <v>10</v>
      </c>
      <c r="B4" t="s">
        <v>72</v>
      </c>
      <c r="C4" t="s">
        <v>191</v>
      </c>
      <c r="D4" t="s">
        <v>192</v>
      </c>
      <c r="E4" s="1" t="s">
        <v>193</v>
      </c>
      <c r="F4" s="1" t="s">
        <v>194</v>
      </c>
      <c r="G4" s="1" t="s">
        <v>195</v>
      </c>
      <c r="H4" s="1"/>
      <c r="J4" s="1"/>
    </row>
    <row r="5" spans="1:10" x14ac:dyDescent="0.25">
      <c r="A5" t="s">
        <v>11</v>
      </c>
      <c r="B5" t="s">
        <v>6</v>
      </c>
      <c r="C5" t="s">
        <v>196</v>
      </c>
      <c r="D5" t="s">
        <v>197</v>
      </c>
      <c r="E5" s="1" t="s">
        <v>198</v>
      </c>
      <c r="F5" s="1" t="s">
        <v>199</v>
      </c>
      <c r="G5" s="1" t="s">
        <v>200</v>
      </c>
      <c r="H5" s="1"/>
      <c r="J5" s="1"/>
    </row>
    <row r="6" spans="1:10" x14ac:dyDescent="0.25">
      <c r="B6" t="s">
        <v>60</v>
      </c>
      <c r="C6" t="s">
        <v>201</v>
      </c>
      <c r="D6" t="s">
        <v>202</v>
      </c>
      <c r="E6" s="1" t="s">
        <v>203</v>
      </c>
      <c r="F6" s="1" t="s">
        <v>204</v>
      </c>
      <c r="G6" s="1" t="s">
        <v>205</v>
      </c>
      <c r="H6" s="1"/>
      <c r="J6" s="1"/>
    </row>
    <row r="7" spans="1:10" x14ac:dyDescent="0.25">
      <c r="B7" t="s">
        <v>59</v>
      </c>
      <c r="C7" t="s">
        <v>206</v>
      </c>
      <c r="D7" t="s">
        <v>207</v>
      </c>
      <c r="E7" s="1" t="s">
        <v>208</v>
      </c>
      <c r="F7" s="1" t="s">
        <v>209</v>
      </c>
      <c r="G7" s="1" t="s">
        <v>210</v>
      </c>
      <c r="H7" s="1"/>
    </row>
    <row r="8" spans="1:10" x14ac:dyDescent="0.25">
      <c r="B8" t="s">
        <v>92</v>
      </c>
      <c r="C8" t="s">
        <v>211</v>
      </c>
      <c r="D8" t="s">
        <v>212</v>
      </c>
      <c r="E8" s="1" t="s">
        <v>213</v>
      </c>
      <c r="F8" s="1" t="s">
        <v>214</v>
      </c>
      <c r="G8" s="1" t="s">
        <v>215</v>
      </c>
    </row>
    <row r="9" spans="1:10" x14ac:dyDescent="0.25">
      <c r="B9" t="s">
        <v>93</v>
      </c>
      <c r="C9" t="s">
        <v>216</v>
      </c>
      <c r="D9" s="1" t="s">
        <v>217</v>
      </c>
      <c r="E9" s="1" t="s">
        <v>218</v>
      </c>
      <c r="F9" s="1" t="s">
        <v>219</v>
      </c>
      <c r="G9" s="1" t="s">
        <v>220</v>
      </c>
    </row>
    <row r="10" spans="1:10" x14ac:dyDescent="0.25">
      <c r="C10" t="s">
        <v>221</v>
      </c>
      <c r="D10" s="1" t="s">
        <v>222</v>
      </c>
      <c r="E10" s="1" t="s">
        <v>223</v>
      </c>
      <c r="F10" s="1" t="s">
        <v>224</v>
      </c>
      <c r="G10" s="1" t="s">
        <v>225</v>
      </c>
    </row>
    <row r="11" spans="1:10" x14ac:dyDescent="0.25">
      <c r="C11" t="s">
        <v>226</v>
      </c>
      <c r="D11" s="1" t="s">
        <v>227</v>
      </c>
      <c r="E11" s="1" t="s">
        <v>228</v>
      </c>
      <c r="F11" s="1" t="s">
        <v>229</v>
      </c>
      <c r="G11" s="1" t="s">
        <v>230</v>
      </c>
      <c r="J11" s="1"/>
    </row>
    <row r="12" spans="1:10" x14ac:dyDescent="0.25">
      <c r="C12" t="s">
        <v>231</v>
      </c>
      <c r="D12" s="1" t="s">
        <v>232</v>
      </c>
      <c r="E12" s="1" t="s">
        <v>233</v>
      </c>
      <c r="F12" s="1" t="s">
        <v>234</v>
      </c>
      <c r="G12" s="1"/>
    </row>
    <row r="13" spans="1:10" x14ac:dyDescent="0.25">
      <c r="C13" t="s">
        <v>235</v>
      </c>
      <c r="D13" s="1" t="s">
        <v>236</v>
      </c>
      <c r="E13" s="1" t="s">
        <v>237</v>
      </c>
      <c r="F13" s="1" t="s">
        <v>238</v>
      </c>
      <c r="G13" s="1"/>
    </row>
    <row r="14" spans="1:10" x14ac:dyDescent="0.25">
      <c r="C14" t="s">
        <v>239</v>
      </c>
      <c r="D14" s="1"/>
      <c r="F14" s="1" t="s">
        <v>240</v>
      </c>
      <c r="G14" s="1"/>
    </row>
    <row r="15" spans="1:10" x14ac:dyDescent="0.25">
      <c r="C15" t="s">
        <v>241</v>
      </c>
      <c r="F15" s="1"/>
      <c r="G15" s="1"/>
    </row>
    <row r="16" spans="1:10" x14ac:dyDescent="0.25">
      <c r="F16" s="1"/>
      <c r="G16" s="1"/>
    </row>
    <row r="17" spans="6:7" x14ac:dyDescent="0.25">
      <c r="F17" s="1"/>
      <c r="G17" s="1"/>
    </row>
    <row r="18" spans="6:7" x14ac:dyDescent="0.25">
      <c r="F18" s="1"/>
      <c r="G18" s="1"/>
    </row>
    <row r="19" spans="6:7" x14ac:dyDescent="0.25">
      <c r="F19" s="1"/>
      <c r="G19" s="1"/>
    </row>
    <row r="20" spans="6:7" x14ac:dyDescent="0.25">
      <c r="F20" s="1"/>
      <c r="G20" s="1"/>
    </row>
    <row r="21" spans="6:7" x14ac:dyDescent="0.25">
      <c r="F21" s="1"/>
      <c r="G21" s="1"/>
    </row>
    <row r="22" spans="6:7" x14ac:dyDescent="0.25">
      <c r="F22" s="1"/>
      <c r="G22" s="1"/>
    </row>
    <row r="23" spans="6:7" x14ac:dyDescent="0.25">
      <c r="F23" s="1"/>
      <c r="G23" s="1"/>
    </row>
    <row r="24" spans="6:7" x14ac:dyDescent="0.25">
      <c r="G24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G39"/>
  <sheetViews>
    <sheetView view="pageLayout" zoomScaleNormal="100" workbookViewId="0">
      <selection activeCell="AR28" sqref="AR28"/>
    </sheetView>
  </sheetViews>
  <sheetFormatPr defaultColWidth="9.140625" defaultRowHeight="13.5" x14ac:dyDescent="0.25"/>
  <cols>
    <col min="1" max="59" width="2.42578125" style="9" customWidth="1"/>
    <col min="60" max="16384" width="9.140625" style="9"/>
  </cols>
  <sheetData>
    <row r="1" spans="1:59" ht="51" customHeight="1" thickBot="1" x14ac:dyDescent="0.3">
      <c r="E1" s="278" t="s">
        <v>33</v>
      </c>
      <c r="F1" s="279"/>
      <c r="G1" s="279"/>
      <c r="H1" s="279"/>
      <c r="I1" s="279"/>
      <c r="J1" s="279"/>
      <c r="K1" s="279"/>
      <c r="L1" s="279"/>
      <c r="M1" s="279"/>
      <c r="N1" s="279"/>
      <c r="O1" s="279"/>
      <c r="P1" s="279"/>
      <c r="Q1" s="279"/>
      <c r="R1" s="279"/>
      <c r="S1" s="279"/>
      <c r="T1" s="279"/>
      <c r="U1" s="279"/>
      <c r="V1" s="279"/>
      <c r="W1" s="279"/>
      <c r="X1" s="279"/>
      <c r="Y1" s="279"/>
      <c r="Z1" s="279"/>
      <c r="AA1" s="279"/>
      <c r="AB1" s="279"/>
      <c r="AC1" s="279"/>
      <c r="AD1" s="279"/>
      <c r="AE1" s="279"/>
      <c r="AF1" s="279"/>
      <c r="AG1" s="279"/>
      <c r="AH1" s="279"/>
      <c r="AI1" s="279"/>
      <c r="AJ1" s="279"/>
      <c r="AK1" s="279"/>
      <c r="AL1" s="279"/>
      <c r="AM1" s="279"/>
      <c r="AN1" s="279"/>
      <c r="AO1" s="279"/>
      <c r="AP1" s="279"/>
      <c r="AQ1" s="279"/>
      <c r="AR1" s="279"/>
      <c r="AS1" s="279"/>
      <c r="AT1" s="279"/>
      <c r="AU1" s="279"/>
      <c r="AV1" s="279"/>
      <c r="AW1" s="279"/>
      <c r="AX1" s="279"/>
      <c r="AY1" s="279"/>
      <c r="AZ1" s="279"/>
      <c r="BA1" s="279"/>
      <c r="BB1" s="279"/>
      <c r="BC1" s="279"/>
      <c r="BD1" s="279"/>
      <c r="BE1" s="279"/>
      <c r="BF1" s="279"/>
      <c r="BG1" s="280"/>
    </row>
    <row r="2" spans="1:59" ht="14.1" customHeight="1" x14ac:dyDescent="0.25">
      <c r="E2" s="251" t="s">
        <v>34</v>
      </c>
      <c r="F2" s="252"/>
      <c r="G2" s="251" t="s">
        <v>35</v>
      </c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7"/>
      <c r="U2" s="257"/>
      <c r="V2" s="257"/>
      <c r="W2" s="257"/>
      <c r="X2" s="257"/>
      <c r="Y2" s="257"/>
      <c r="Z2" s="257"/>
      <c r="AA2" s="257"/>
      <c r="AB2" s="257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257"/>
      <c r="AN2" s="257"/>
      <c r="AO2" s="257"/>
      <c r="AP2" s="258"/>
      <c r="AQ2" s="251" t="s">
        <v>52</v>
      </c>
      <c r="AR2" s="257"/>
      <c r="AS2" s="257"/>
      <c r="AT2" s="257"/>
      <c r="AU2" s="257"/>
      <c r="AV2" s="257"/>
      <c r="AW2" s="257"/>
      <c r="AX2" s="252"/>
      <c r="AY2" s="263" t="s">
        <v>18</v>
      </c>
      <c r="AZ2" s="257"/>
      <c r="BA2" s="257"/>
      <c r="BB2" s="257"/>
      <c r="BC2" s="257"/>
      <c r="BD2" s="257"/>
      <c r="BE2" s="257"/>
      <c r="BF2" s="257"/>
      <c r="BG2" s="252"/>
    </row>
    <row r="3" spans="1:59" ht="14.1" customHeight="1" x14ac:dyDescent="0.25">
      <c r="E3" s="253"/>
      <c r="F3" s="254"/>
      <c r="G3" s="253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60"/>
      <c r="AQ3" s="253"/>
      <c r="AR3" s="259"/>
      <c r="AS3" s="259"/>
      <c r="AT3" s="259"/>
      <c r="AU3" s="259"/>
      <c r="AV3" s="259"/>
      <c r="AW3" s="259"/>
      <c r="AX3" s="254"/>
      <c r="AY3" s="264"/>
      <c r="AZ3" s="259"/>
      <c r="BA3" s="259"/>
      <c r="BB3" s="259"/>
      <c r="BC3" s="259"/>
      <c r="BD3" s="259"/>
      <c r="BE3" s="259"/>
      <c r="BF3" s="259"/>
      <c r="BG3" s="254"/>
    </row>
    <row r="4" spans="1:59" ht="14.1" customHeight="1" thickBot="1" x14ac:dyDescent="0.3">
      <c r="E4" s="255"/>
      <c r="F4" s="256"/>
      <c r="G4" s="255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261"/>
      <c r="T4" s="261"/>
      <c r="U4" s="261"/>
      <c r="V4" s="261"/>
      <c r="W4" s="261"/>
      <c r="X4" s="261"/>
      <c r="Y4" s="261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2"/>
      <c r="AQ4" s="255"/>
      <c r="AR4" s="261"/>
      <c r="AS4" s="261"/>
      <c r="AT4" s="261"/>
      <c r="AU4" s="261"/>
      <c r="AV4" s="261"/>
      <c r="AW4" s="261"/>
      <c r="AX4" s="256"/>
      <c r="AY4" s="265"/>
      <c r="AZ4" s="261"/>
      <c r="BA4" s="261"/>
      <c r="BB4" s="261"/>
      <c r="BC4" s="261"/>
      <c r="BD4" s="261"/>
      <c r="BE4" s="261"/>
      <c r="BF4" s="261"/>
      <c r="BG4" s="256"/>
    </row>
    <row r="5" spans="1:59" ht="14.1" customHeight="1" x14ac:dyDescent="0.25">
      <c r="E5" s="266">
        <v>1</v>
      </c>
      <c r="F5" s="267"/>
      <c r="G5" s="268" t="s">
        <v>58</v>
      </c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69"/>
      <c r="U5" s="269"/>
      <c r="V5" s="269"/>
      <c r="W5" s="269"/>
      <c r="X5" s="269"/>
      <c r="Y5" s="269"/>
      <c r="Z5" s="269"/>
      <c r="AA5" s="269"/>
      <c r="AB5" s="269"/>
      <c r="AC5" s="269"/>
      <c r="AD5" s="269"/>
      <c r="AE5" s="269"/>
      <c r="AF5" s="269"/>
      <c r="AG5" s="269"/>
      <c r="AH5" s="269"/>
      <c r="AI5" s="269"/>
      <c r="AJ5" s="269"/>
      <c r="AK5" s="269"/>
      <c r="AL5" s="269"/>
      <c r="AM5" s="269"/>
      <c r="AN5" s="269"/>
      <c r="AO5" s="269"/>
      <c r="AP5" s="270"/>
      <c r="AQ5" s="266"/>
      <c r="AR5" s="274"/>
      <c r="AS5" s="274"/>
      <c r="AT5" s="274"/>
      <c r="AU5" s="274"/>
      <c r="AV5" s="274"/>
      <c r="AW5" s="274"/>
      <c r="AX5" s="267"/>
      <c r="AY5" s="275">
        <v>3</v>
      </c>
      <c r="AZ5" s="276"/>
      <c r="BA5" s="276"/>
      <c r="BB5" s="276"/>
      <c r="BC5" s="276"/>
      <c r="BD5" s="276"/>
      <c r="BE5" s="276"/>
      <c r="BF5" s="276"/>
      <c r="BG5" s="277"/>
    </row>
    <row r="6" spans="1:59" ht="14.1" customHeight="1" x14ac:dyDescent="0.25">
      <c r="E6" s="231"/>
      <c r="F6" s="233"/>
      <c r="G6" s="271"/>
      <c r="H6" s="272"/>
      <c r="I6" s="272"/>
      <c r="J6" s="272"/>
      <c r="K6" s="272"/>
      <c r="L6" s="272"/>
      <c r="M6" s="272"/>
      <c r="N6" s="272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  <c r="AF6" s="272"/>
      <c r="AG6" s="272"/>
      <c r="AH6" s="272"/>
      <c r="AI6" s="272"/>
      <c r="AJ6" s="272"/>
      <c r="AK6" s="272"/>
      <c r="AL6" s="272"/>
      <c r="AM6" s="272"/>
      <c r="AN6" s="272"/>
      <c r="AO6" s="272"/>
      <c r="AP6" s="273"/>
      <c r="AQ6" s="231"/>
      <c r="AR6" s="232"/>
      <c r="AS6" s="232"/>
      <c r="AT6" s="232"/>
      <c r="AU6" s="232"/>
      <c r="AV6" s="232"/>
      <c r="AW6" s="232"/>
      <c r="AX6" s="233"/>
      <c r="AY6" s="234"/>
      <c r="AZ6" s="235"/>
      <c r="BA6" s="235"/>
      <c r="BB6" s="235"/>
      <c r="BC6" s="235"/>
      <c r="BD6" s="235"/>
      <c r="BE6" s="235"/>
      <c r="BF6" s="235"/>
      <c r="BG6" s="236"/>
    </row>
    <row r="7" spans="1:59" ht="14.1" customHeight="1" x14ac:dyDescent="0.25">
      <c r="E7" s="231">
        <v>2</v>
      </c>
      <c r="F7" s="233"/>
      <c r="G7" s="237" t="s">
        <v>64</v>
      </c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38"/>
      <c r="Z7" s="238"/>
      <c r="AA7" s="238"/>
      <c r="AB7" s="238"/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238"/>
      <c r="AO7" s="238"/>
      <c r="AP7" s="239"/>
      <c r="AQ7" s="231"/>
      <c r="AR7" s="232"/>
      <c r="AS7" s="232"/>
      <c r="AT7" s="232"/>
      <c r="AU7" s="232"/>
      <c r="AV7" s="232"/>
      <c r="AW7" s="232"/>
      <c r="AX7" s="233"/>
      <c r="AY7" s="234">
        <v>4</v>
      </c>
      <c r="AZ7" s="235"/>
      <c r="BA7" s="235"/>
      <c r="BB7" s="235"/>
      <c r="BC7" s="235"/>
      <c r="BD7" s="235"/>
      <c r="BE7" s="235"/>
      <c r="BF7" s="235"/>
      <c r="BG7" s="236"/>
    </row>
    <row r="8" spans="1:59" ht="14.1" customHeight="1" x14ac:dyDescent="0.25">
      <c r="E8" s="231"/>
      <c r="F8" s="233"/>
      <c r="G8" s="237"/>
      <c r="H8" s="238"/>
      <c r="I8" s="238"/>
      <c r="J8" s="238"/>
      <c r="K8" s="238"/>
      <c r="L8" s="238"/>
      <c r="M8" s="238"/>
      <c r="N8" s="238"/>
      <c r="O8" s="238"/>
      <c r="P8" s="238"/>
      <c r="Q8" s="238"/>
      <c r="R8" s="238"/>
      <c r="S8" s="238"/>
      <c r="T8" s="238"/>
      <c r="U8" s="238"/>
      <c r="V8" s="238"/>
      <c r="W8" s="238"/>
      <c r="X8" s="238"/>
      <c r="Y8" s="238"/>
      <c r="Z8" s="238"/>
      <c r="AA8" s="238"/>
      <c r="AB8" s="238"/>
      <c r="AC8" s="238"/>
      <c r="AD8" s="238"/>
      <c r="AE8" s="238"/>
      <c r="AF8" s="238"/>
      <c r="AG8" s="238"/>
      <c r="AH8" s="238"/>
      <c r="AI8" s="238"/>
      <c r="AJ8" s="238"/>
      <c r="AK8" s="238"/>
      <c r="AL8" s="238"/>
      <c r="AM8" s="238"/>
      <c r="AN8" s="238"/>
      <c r="AO8" s="238"/>
      <c r="AP8" s="239"/>
      <c r="AQ8" s="231"/>
      <c r="AR8" s="232"/>
      <c r="AS8" s="232"/>
      <c r="AT8" s="232"/>
      <c r="AU8" s="232"/>
      <c r="AV8" s="232"/>
      <c r="AW8" s="232"/>
      <c r="AX8" s="233"/>
      <c r="AY8" s="234"/>
      <c r="AZ8" s="235"/>
      <c r="BA8" s="235"/>
      <c r="BB8" s="235"/>
      <c r="BC8" s="235"/>
      <c r="BD8" s="235"/>
      <c r="BE8" s="235"/>
      <c r="BF8" s="235"/>
      <c r="BG8" s="236"/>
    </row>
    <row r="9" spans="1:59" ht="14.1" customHeight="1" x14ac:dyDescent="0.25">
      <c r="A9" s="11"/>
      <c r="B9" s="11"/>
      <c r="C9" s="11"/>
      <c r="D9" s="11"/>
      <c r="E9" s="231">
        <v>3</v>
      </c>
      <c r="F9" s="233"/>
      <c r="G9" s="237" t="s">
        <v>100</v>
      </c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238"/>
      <c r="T9" s="238"/>
      <c r="U9" s="238"/>
      <c r="V9" s="238"/>
      <c r="W9" s="238"/>
      <c r="X9" s="238"/>
      <c r="Y9" s="238"/>
      <c r="Z9" s="238"/>
      <c r="AA9" s="238"/>
      <c r="AB9" s="238"/>
      <c r="AC9" s="238"/>
      <c r="AD9" s="238"/>
      <c r="AE9" s="238"/>
      <c r="AF9" s="238"/>
      <c r="AG9" s="238"/>
      <c r="AH9" s="238"/>
      <c r="AI9" s="238"/>
      <c r="AJ9" s="238"/>
      <c r="AK9" s="238"/>
      <c r="AL9" s="238"/>
      <c r="AM9" s="238"/>
      <c r="AN9" s="238"/>
      <c r="AO9" s="238"/>
      <c r="AP9" s="239"/>
      <c r="AQ9" s="231"/>
      <c r="AR9" s="232"/>
      <c r="AS9" s="232"/>
      <c r="AT9" s="232"/>
      <c r="AU9" s="232"/>
      <c r="AV9" s="232"/>
      <c r="AW9" s="232"/>
      <c r="AX9" s="233"/>
      <c r="AY9" s="234">
        <v>5</v>
      </c>
      <c r="AZ9" s="235"/>
      <c r="BA9" s="235"/>
      <c r="BB9" s="235"/>
      <c r="BC9" s="235"/>
      <c r="BD9" s="235"/>
      <c r="BE9" s="235"/>
      <c r="BF9" s="235"/>
      <c r="BG9" s="236"/>
    </row>
    <row r="10" spans="1:59" ht="14.1" customHeight="1" thickBot="1" x14ac:dyDescent="0.3">
      <c r="E10" s="231"/>
      <c r="F10" s="233"/>
      <c r="G10" s="237"/>
      <c r="H10" s="238"/>
      <c r="I10" s="238"/>
      <c r="J10" s="238"/>
      <c r="K10" s="238"/>
      <c r="L10" s="238"/>
      <c r="M10" s="238"/>
      <c r="N10" s="238"/>
      <c r="O10" s="238"/>
      <c r="P10" s="238"/>
      <c r="Q10" s="238"/>
      <c r="R10" s="238"/>
      <c r="S10" s="238"/>
      <c r="T10" s="238"/>
      <c r="U10" s="238"/>
      <c r="V10" s="238"/>
      <c r="W10" s="238"/>
      <c r="X10" s="238"/>
      <c r="Y10" s="238"/>
      <c r="Z10" s="238"/>
      <c r="AA10" s="238"/>
      <c r="AB10" s="238"/>
      <c r="AC10" s="238"/>
      <c r="AD10" s="238"/>
      <c r="AE10" s="238"/>
      <c r="AF10" s="238"/>
      <c r="AG10" s="238"/>
      <c r="AH10" s="238"/>
      <c r="AI10" s="238"/>
      <c r="AJ10" s="238"/>
      <c r="AK10" s="238"/>
      <c r="AL10" s="238"/>
      <c r="AM10" s="238"/>
      <c r="AN10" s="238"/>
      <c r="AO10" s="238"/>
      <c r="AP10" s="239"/>
      <c r="AQ10" s="231"/>
      <c r="AR10" s="232"/>
      <c r="AS10" s="232"/>
      <c r="AT10" s="232"/>
      <c r="AU10" s="232"/>
      <c r="AV10" s="232"/>
      <c r="AW10" s="232"/>
      <c r="AX10" s="233"/>
      <c r="AY10" s="234"/>
      <c r="AZ10" s="235"/>
      <c r="BA10" s="235"/>
      <c r="BB10" s="235"/>
      <c r="BC10" s="235"/>
      <c r="BD10" s="235"/>
      <c r="BE10" s="235"/>
      <c r="BF10" s="235"/>
      <c r="BG10" s="236"/>
    </row>
    <row r="11" spans="1:59" ht="14.1" customHeight="1" thickBot="1" x14ac:dyDescent="0.3">
      <c r="B11" s="226" t="s">
        <v>29</v>
      </c>
      <c r="C11" s="229"/>
      <c r="D11" s="250"/>
      <c r="E11" s="231">
        <v>4</v>
      </c>
      <c r="F11" s="233"/>
      <c r="G11" s="237" t="s">
        <v>135</v>
      </c>
      <c r="H11" s="238"/>
      <c r="I11" s="238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D11" s="238"/>
      <c r="AE11" s="238"/>
      <c r="AF11" s="238"/>
      <c r="AG11" s="238"/>
      <c r="AH11" s="238"/>
      <c r="AI11" s="238"/>
      <c r="AJ11" s="238"/>
      <c r="AK11" s="238"/>
      <c r="AL11" s="238"/>
      <c r="AM11" s="238"/>
      <c r="AN11" s="238"/>
      <c r="AO11" s="238"/>
      <c r="AP11" s="239"/>
      <c r="AQ11" s="231"/>
      <c r="AR11" s="232"/>
      <c r="AS11" s="232"/>
      <c r="AT11" s="232"/>
      <c r="AU11" s="232"/>
      <c r="AV11" s="232"/>
      <c r="AW11" s="232"/>
      <c r="AX11" s="233"/>
      <c r="AY11" s="234" t="s">
        <v>423</v>
      </c>
      <c r="AZ11" s="235"/>
      <c r="BA11" s="235"/>
      <c r="BB11" s="235"/>
      <c r="BC11" s="235"/>
      <c r="BD11" s="235"/>
      <c r="BE11" s="235"/>
      <c r="BF11" s="235"/>
      <c r="BG11" s="236"/>
    </row>
    <row r="12" spans="1:59" ht="14.1" customHeight="1" thickBot="1" x14ac:dyDescent="0.3">
      <c r="B12" s="227"/>
      <c r="C12" s="229"/>
      <c r="D12" s="250"/>
      <c r="E12" s="231"/>
      <c r="F12" s="233"/>
      <c r="G12" s="237"/>
      <c r="H12" s="238"/>
      <c r="I12" s="238"/>
      <c r="J12" s="238"/>
      <c r="K12" s="238"/>
      <c r="L12" s="238"/>
      <c r="M12" s="238"/>
      <c r="N12" s="238"/>
      <c r="O12" s="238"/>
      <c r="P12" s="238"/>
      <c r="Q12" s="238"/>
      <c r="R12" s="238"/>
      <c r="S12" s="238"/>
      <c r="T12" s="238"/>
      <c r="U12" s="238"/>
      <c r="V12" s="238"/>
      <c r="W12" s="238"/>
      <c r="X12" s="238"/>
      <c r="Y12" s="238"/>
      <c r="Z12" s="238"/>
      <c r="AA12" s="238"/>
      <c r="AB12" s="238"/>
      <c r="AC12" s="238"/>
      <c r="AD12" s="238"/>
      <c r="AE12" s="238"/>
      <c r="AF12" s="238"/>
      <c r="AG12" s="238"/>
      <c r="AH12" s="238"/>
      <c r="AI12" s="238"/>
      <c r="AJ12" s="238"/>
      <c r="AK12" s="238"/>
      <c r="AL12" s="238"/>
      <c r="AM12" s="238"/>
      <c r="AN12" s="238"/>
      <c r="AO12" s="238"/>
      <c r="AP12" s="239"/>
      <c r="AQ12" s="231"/>
      <c r="AR12" s="232"/>
      <c r="AS12" s="232"/>
      <c r="AT12" s="232"/>
      <c r="AU12" s="232"/>
      <c r="AV12" s="232"/>
      <c r="AW12" s="232"/>
      <c r="AX12" s="233"/>
      <c r="AY12" s="234"/>
      <c r="AZ12" s="235"/>
      <c r="BA12" s="235"/>
      <c r="BB12" s="235"/>
      <c r="BC12" s="235"/>
      <c r="BD12" s="235"/>
      <c r="BE12" s="235"/>
      <c r="BF12" s="235"/>
      <c r="BG12" s="236"/>
    </row>
    <row r="13" spans="1:59" ht="14.1" customHeight="1" thickBot="1" x14ac:dyDescent="0.3">
      <c r="B13" s="227"/>
      <c r="C13" s="229"/>
      <c r="D13" s="230"/>
      <c r="E13" s="231">
        <v>5</v>
      </c>
      <c r="F13" s="233"/>
      <c r="G13" s="237" t="s">
        <v>246</v>
      </c>
      <c r="H13" s="238"/>
      <c r="I13" s="238"/>
      <c r="J13" s="238"/>
      <c r="K13" s="238"/>
      <c r="L13" s="238"/>
      <c r="M13" s="238"/>
      <c r="N13" s="238"/>
      <c r="O13" s="238"/>
      <c r="P13" s="238"/>
      <c r="Q13" s="238"/>
      <c r="R13" s="238"/>
      <c r="S13" s="238"/>
      <c r="T13" s="238"/>
      <c r="U13" s="238"/>
      <c r="V13" s="238"/>
      <c r="W13" s="238"/>
      <c r="X13" s="238"/>
      <c r="Y13" s="238"/>
      <c r="Z13" s="238"/>
      <c r="AA13" s="238"/>
      <c r="AB13" s="238"/>
      <c r="AC13" s="238"/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/>
      <c r="AO13" s="238"/>
      <c r="AP13" s="239"/>
      <c r="AQ13" s="231"/>
      <c r="AR13" s="232"/>
      <c r="AS13" s="232"/>
      <c r="AT13" s="232"/>
      <c r="AU13" s="232"/>
      <c r="AV13" s="232"/>
      <c r="AW13" s="232"/>
      <c r="AX13" s="233"/>
      <c r="AY13" s="234" t="s">
        <v>425</v>
      </c>
      <c r="AZ13" s="235"/>
      <c r="BA13" s="235"/>
      <c r="BB13" s="235"/>
      <c r="BC13" s="235"/>
      <c r="BD13" s="235"/>
      <c r="BE13" s="235"/>
      <c r="BF13" s="235"/>
      <c r="BG13" s="236"/>
    </row>
    <row r="14" spans="1:59" ht="14.1" customHeight="1" thickBot="1" x14ac:dyDescent="0.3">
      <c r="B14" s="227"/>
      <c r="C14" s="229"/>
      <c r="D14" s="230"/>
      <c r="E14" s="231"/>
      <c r="F14" s="233"/>
      <c r="G14" s="237"/>
      <c r="H14" s="238"/>
      <c r="I14" s="238"/>
      <c r="J14" s="238"/>
      <c r="K14" s="238"/>
      <c r="L14" s="238"/>
      <c r="M14" s="238"/>
      <c r="N14" s="238"/>
      <c r="O14" s="238"/>
      <c r="P14" s="238"/>
      <c r="Q14" s="238"/>
      <c r="R14" s="238"/>
      <c r="S14" s="238"/>
      <c r="T14" s="238"/>
      <c r="U14" s="238"/>
      <c r="V14" s="238"/>
      <c r="W14" s="238"/>
      <c r="X14" s="238"/>
      <c r="Y14" s="238"/>
      <c r="Z14" s="238"/>
      <c r="AA14" s="238"/>
      <c r="AB14" s="238"/>
      <c r="AC14" s="238"/>
      <c r="AD14" s="238"/>
      <c r="AE14" s="238"/>
      <c r="AF14" s="238"/>
      <c r="AG14" s="238"/>
      <c r="AH14" s="238"/>
      <c r="AI14" s="238"/>
      <c r="AJ14" s="238"/>
      <c r="AK14" s="238"/>
      <c r="AL14" s="238"/>
      <c r="AM14" s="238"/>
      <c r="AN14" s="238"/>
      <c r="AO14" s="238"/>
      <c r="AP14" s="239"/>
      <c r="AQ14" s="231"/>
      <c r="AR14" s="232"/>
      <c r="AS14" s="232"/>
      <c r="AT14" s="232"/>
      <c r="AU14" s="232"/>
      <c r="AV14" s="232"/>
      <c r="AW14" s="232"/>
      <c r="AX14" s="233"/>
      <c r="AY14" s="234"/>
      <c r="AZ14" s="235"/>
      <c r="BA14" s="235"/>
      <c r="BB14" s="235"/>
      <c r="BC14" s="235"/>
      <c r="BD14" s="235"/>
      <c r="BE14" s="235"/>
      <c r="BF14" s="235"/>
      <c r="BG14" s="236"/>
    </row>
    <row r="15" spans="1:59" ht="14.1" customHeight="1" thickBot="1" x14ac:dyDescent="0.3">
      <c r="B15" s="227"/>
      <c r="C15" s="229"/>
      <c r="D15" s="250"/>
      <c r="E15" s="231">
        <v>6</v>
      </c>
      <c r="F15" s="233"/>
      <c r="G15" s="237" t="s">
        <v>399</v>
      </c>
      <c r="H15" s="238"/>
      <c r="I15" s="238"/>
      <c r="J15" s="238"/>
      <c r="K15" s="238"/>
      <c r="L15" s="238"/>
      <c r="M15" s="238"/>
      <c r="N15" s="238"/>
      <c r="O15" s="238"/>
      <c r="P15" s="238"/>
      <c r="Q15" s="238"/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38"/>
      <c r="AC15" s="238"/>
      <c r="AD15" s="238"/>
      <c r="AE15" s="238"/>
      <c r="AF15" s="238"/>
      <c r="AG15" s="238"/>
      <c r="AH15" s="238"/>
      <c r="AI15" s="238"/>
      <c r="AJ15" s="238"/>
      <c r="AK15" s="238"/>
      <c r="AL15" s="238"/>
      <c r="AM15" s="238"/>
      <c r="AN15" s="238"/>
      <c r="AO15" s="238"/>
      <c r="AP15" s="239"/>
      <c r="AQ15" s="231"/>
      <c r="AR15" s="232"/>
      <c r="AS15" s="232"/>
      <c r="AT15" s="232"/>
      <c r="AU15" s="232"/>
      <c r="AV15" s="232"/>
      <c r="AW15" s="232"/>
      <c r="AX15" s="233"/>
      <c r="AY15" s="234" t="s">
        <v>426</v>
      </c>
      <c r="AZ15" s="235"/>
      <c r="BA15" s="235"/>
      <c r="BB15" s="235"/>
      <c r="BC15" s="235"/>
      <c r="BD15" s="235"/>
      <c r="BE15" s="235"/>
      <c r="BF15" s="235"/>
      <c r="BG15" s="236"/>
    </row>
    <row r="16" spans="1:59" ht="14.1" customHeight="1" thickBot="1" x14ac:dyDescent="0.3">
      <c r="B16" s="227"/>
      <c r="C16" s="229"/>
      <c r="D16" s="250"/>
      <c r="E16" s="231"/>
      <c r="F16" s="233"/>
      <c r="G16" s="237"/>
      <c r="H16" s="238"/>
      <c r="I16" s="238"/>
      <c r="J16" s="238"/>
      <c r="K16" s="238"/>
      <c r="L16" s="238"/>
      <c r="M16" s="238"/>
      <c r="N16" s="238"/>
      <c r="O16" s="238"/>
      <c r="P16" s="238"/>
      <c r="Q16" s="238"/>
      <c r="R16" s="238"/>
      <c r="S16" s="238"/>
      <c r="T16" s="238"/>
      <c r="U16" s="238"/>
      <c r="V16" s="238"/>
      <c r="W16" s="238"/>
      <c r="X16" s="238"/>
      <c r="Y16" s="238"/>
      <c r="Z16" s="238"/>
      <c r="AA16" s="238"/>
      <c r="AB16" s="238"/>
      <c r="AC16" s="238"/>
      <c r="AD16" s="238"/>
      <c r="AE16" s="238"/>
      <c r="AF16" s="238"/>
      <c r="AG16" s="238"/>
      <c r="AH16" s="238"/>
      <c r="AI16" s="238"/>
      <c r="AJ16" s="238"/>
      <c r="AK16" s="238"/>
      <c r="AL16" s="238"/>
      <c r="AM16" s="238"/>
      <c r="AN16" s="238"/>
      <c r="AO16" s="238"/>
      <c r="AP16" s="239"/>
      <c r="AQ16" s="231"/>
      <c r="AR16" s="232"/>
      <c r="AS16" s="232"/>
      <c r="AT16" s="232"/>
      <c r="AU16" s="232"/>
      <c r="AV16" s="232"/>
      <c r="AW16" s="232"/>
      <c r="AX16" s="233"/>
      <c r="AY16" s="234"/>
      <c r="AZ16" s="235"/>
      <c r="BA16" s="235"/>
      <c r="BB16" s="235"/>
      <c r="BC16" s="235"/>
      <c r="BD16" s="235"/>
      <c r="BE16" s="235"/>
      <c r="BF16" s="235"/>
      <c r="BG16" s="236"/>
    </row>
    <row r="17" spans="1:59" ht="14.1" customHeight="1" thickBot="1" x14ac:dyDescent="0.3">
      <c r="B17" s="227"/>
      <c r="C17" s="229"/>
      <c r="D17" s="250"/>
      <c r="E17" s="231">
        <v>7</v>
      </c>
      <c r="F17" s="233"/>
      <c r="G17" s="237" t="s">
        <v>406</v>
      </c>
      <c r="H17" s="238"/>
      <c r="I17" s="238"/>
      <c r="J17" s="238"/>
      <c r="K17" s="238"/>
      <c r="L17" s="238"/>
      <c r="M17" s="238"/>
      <c r="N17" s="238"/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/>
      <c r="AE17" s="238"/>
      <c r="AF17" s="238"/>
      <c r="AG17" s="238"/>
      <c r="AH17" s="238"/>
      <c r="AI17" s="238"/>
      <c r="AJ17" s="238"/>
      <c r="AK17" s="238"/>
      <c r="AL17" s="238"/>
      <c r="AM17" s="238"/>
      <c r="AN17" s="238"/>
      <c r="AO17" s="238"/>
      <c r="AP17" s="239"/>
      <c r="AQ17" s="231"/>
      <c r="AR17" s="232"/>
      <c r="AS17" s="232"/>
      <c r="AT17" s="232"/>
      <c r="AU17" s="232"/>
      <c r="AV17" s="232"/>
      <c r="AW17" s="232"/>
      <c r="AX17" s="233"/>
      <c r="AY17" s="234" t="s">
        <v>427</v>
      </c>
      <c r="AZ17" s="235"/>
      <c r="BA17" s="235"/>
      <c r="BB17" s="235"/>
      <c r="BC17" s="235"/>
      <c r="BD17" s="235"/>
      <c r="BE17" s="235"/>
      <c r="BF17" s="235"/>
      <c r="BG17" s="236"/>
    </row>
    <row r="18" spans="1:59" ht="14.1" customHeight="1" thickBot="1" x14ac:dyDescent="0.3">
      <c r="B18" s="227"/>
      <c r="C18" s="229"/>
      <c r="D18" s="250"/>
      <c r="E18" s="231"/>
      <c r="F18" s="233"/>
      <c r="G18" s="237"/>
      <c r="H18" s="238"/>
      <c r="I18" s="238"/>
      <c r="J18" s="238"/>
      <c r="K18" s="238"/>
      <c r="L18" s="238"/>
      <c r="M18" s="238"/>
      <c r="N18" s="238"/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/>
      <c r="AE18" s="238"/>
      <c r="AF18" s="238"/>
      <c r="AG18" s="238"/>
      <c r="AH18" s="238"/>
      <c r="AI18" s="238"/>
      <c r="AJ18" s="238"/>
      <c r="AK18" s="238"/>
      <c r="AL18" s="238"/>
      <c r="AM18" s="238"/>
      <c r="AN18" s="238"/>
      <c r="AO18" s="238"/>
      <c r="AP18" s="239"/>
      <c r="AQ18" s="231"/>
      <c r="AR18" s="232"/>
      <c r="AS18" s="232"/>
      <c r="AT18" s="232"/>
      <c r="AU18" s="232"/>
      <c r="AV18" s="232"/>
      <c r="AW18" s="232"/>
      <c r="AX18" s="233"/>
      <c r="AY18" s="234"/>
      <c r="AZ18" s="235"/>
      <c r="BA18" s="235"/>
      <c r="BB18" s="235"/>
      <c r="BC18" s="235"/>
      <c r="BD18" s="235"/>
      <c r="BE18" s="235"/>
      <c r="BF18" s="235"/>
      <c r="BG18" s="236"/>
    </row>
    <row r="19" spans="1:59" ht="14.1" customHeight="1" thickBot="1" x14ac:dyDescent="0.3">
      <c r="B19" s="227"/>
      <c r="C19" s="229"/>
      <c r="D19" s="250"/>
      <c r="E19" s="231">
        <v>8</v>
      </c>
      <c r="F19" s="233"/>
      <c r="G19" s="237" t="s">
        <v>428</v>
      </c>
      <c r="H19" s="238"/>
      <c r="I19" s="238"/>
      <c r="J19" s="238"/>
      <c r="K19" s="238"/>
      <c r="L19" s="238"/>
      <c r="M19" s="238"/>
      <c r="N19" s="238"/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/>
      <c r="AE19" s="238"/>
      <c r="AF19" s="238"/>
      <c r="AG19" s="238"/>
      <c r="AH19" s="238"/>
      <c r="AI19" s="238"/>
      <c r="AJ19" s="238"/>
      <c r="AK19" s="238"/>
      <c r="AL19" s="238"/>
      <c r="AM19" s="238"/>
      <c r="AN19" s="238"/>
      <c r="AO19" s="238"/>
      <c r="AP19" s="239"/>
      <c r="AQ19" s="231"/>
      <c r="AR19" s="232"/>
      <c r="AS19" s="232"/>
      <c r="AT19" s="232"/>
      <c r="AU19" s="232"/>
      <c r="AV19" s="232"/>
      <c r="AW19" s="232"/>
      <c r="AX19" s="233"/>
      <c r="AY19" s="234" t="s">
        <v>424</v>
      </c>
      <c r="AZ19" s="235"/>
      <c r="BA19" s="235"/>
      <c r="BB19" s="235"/>
      <c r="BC19" s="235"/>
      <c r="BD19" s="235"/>
      <c r="BE19" s="235"/>
      <c r="BF19" s="235"/>
      <c r="BG19" s="236"/>
    </row>
    <row r="20" spans="1:59" ht="14.1" customHeight="1" thickBot="1" x14ac:dyDescent="0.3">
      <c r="B20" s="227"/>
      <c r="C20" s="229"/>
      <c r="D20" s="250"/>
      <c r="E20" s="231"/>
      <c r="F20" s="233"/>
      <c r="G20" s="237"/>
      <c r="H20" s="238"/>
      <c r="I20" s="238"/>
      <c r="J20" s="238"/>
      <c r="K20" s="238"/>
      <c r="L20" s="238"/>
      <c r="M20" s="238"/>
      <c r="N20" s="238"/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/>
      <c r="AE20" s="238"/>
      <c r="AF20" s="238"/>
      <c r="AG20" s="238"/>
      <c r="AH20" s="238"/>
      <c r="AI20" s="238"/>
      <c r="AJ20" s="238"/>
      <c r="AK20" s="238"/>
      <c r="AL20" s="238"/>
      <c r="AM20" s="238"/>
      <c r="AN20" s="238"/>
      <c r="AO20" s="238"/>
      <c r="AP20" s="239"/>
      <c r="AQ20" s="231"/>
      <c r="AR20" s="232"/>
      <c r="AS20" s="232"/>
      <c r="AT20" s="232"/>
      <c r="AU20" s="232"/>
      <c r="AV20" s="232"/>
      <c r="AW20" s="232"/>
      <c r="AX20" s="233"/>
      <c r="AY20" s="234"/>
      <c r="AZ20" s="235"/>
      <c r="BA20" s="235"/>
      <c r="BB20" s="235"/>
      <c r="BC20" s="235"/>
      <c r="BD20" s="235"/>
      <c r="BE20" s="235"/>
      <c r="BF20" s="235"/>
      <c r="BG20" s="236"/>
    </row>
    <row r="21" spans="1:59" ht="14.1" customHeight="1" thickBot="1" x14ac:dyDescent="0.3">
      <c r="B21" s="227"/>
      <c r="C21" s="229"/>
      <c r="D21" s="250"/>
      <c r="E21" s="77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61"/>
    </row>
    <row r="22" spans="1:59" ht="14.1" customHeight="1" thickBot="1" x14ac:dyDescent="0.3">
      <c r="B22" s="228"/>
      <c r="C22" s="229"/>
      <c r="D22" s="250"/>
      <c r="E22" s="77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61"/>
    </row>
    <row r="23" spans="1:59" ht="14.1" customHeight="1" x14ac:dyDescent="0.25">
      <c r="A23" s="12"/>
      <c r="B23" s="12"/>
      <c r="C23" s="240" t="s">
        <v>28</v>
      </c>
      <c r="D23" s="243"/>
      <c r="E23" s="77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61"/>
    </row>
    <row r="24" spans="1:59" ht="14.1" customHeight="1" x14ac:dyDescent="0.25">
      <c r="A24" s="12"/>
      <c r="B24" s="12"/>
      <c r="C24" s="241"/>
      <c r="D24" s="244"/>
      <c r="E24" s="77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61"/>
    </row>
    <row r="25" spans="1:59" ht="14.1" customHeight="1" x14ac:dyDescent="0.25">
      <c r="A25" s="12"/>
      <c r="B25" s="12"/>
      <c r="C25" s="241"/>
      <c r="D25" s="244"/>
      <c r="E25" s="77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61"/>
    </row>
    <row r="26" spans="1:59" ht="14.1" customHeight="1" x14ac:dyDescent="0.25">
      <c r="A26" s="12"/>
      <c r="B26" s="12"/>
      <c r="C26" s="241"/>
      <c r="D26" s="244"/>
      <c r="E26" s="77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61"/>
    </row>
    <row r="27" spans="1:59" ht="14.1" customHeight="1" thickBot="1" x14ac:dyDescent="0.3">
      <c r="A27" s="12"/>
      <c r="B27" s="12"/>
      <c r="C27" s="242"/>
      <c r="D27" s="245"/>
      <c r="E27" s="77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61"/>
    </row>
    <row r="28" spans="1:59" ht="14.1" customHeight="1" thickBot="1" x14ac:dyDescent="0.3">
      <c r="A28" s="12"/>
      <c r="B28" s="12"/>
      <c r="C28" s="246" t="s">
        <v>26</v>
      </c>
      <c r="D28" s="248"/>
      <c r="E28" s="77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61"/>
    </row>
    <row r="29" spans="1:59" ht="14.1" customHeight="1" x14ac:dyDescent="0.25">
      <c r="A29" s="12"/>
      <c r="B29" s="12"/>
      <c r="C29" s="241"/>
      <c r="D29" s="244"/>
      <c r="E29" s="77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83"/>
      <c r="X29" s="171"/>
      <c r="Y29" s="183"/>
      <c r="Z29" s="184"/>
      <c r="AA29" s="169"/>
      <c r="AB29" s="171"/>
      <c r="AC29" s="183"/>
      <c r="AD29" s="184"/>
      <c r="AE29" s="169"/>
      <c r="AF29" s="170"/>
      <c r="AG29" s="171"/>
      <c r="AH29" s="172"/>
      <c r="AI29" s="173"/>
      <c r="AJ29" s="174" t="s">
        <v>435</v>
      </c>
      <c r="AK29" s="174"/>
      <c r="AL29" s="174"/>
      <c r="AM29" s="174"/>
      <c r="AN29" s="174"/>
      <c r="AO29" s="174"/>
      <c r="AP29" s="174"/>
      <c r="AQ29" s="174"/>
      <c r="AR29" s="174"/>
      <c r="AS29" s="174"/>
      <c r="AT29" s="174"/>
      <c r="AU29" s="174"/>
      <c r="AV29" s="174"/>
      <c r="AW29" s="174"/>
      <c r="AX29" s="174"/>
      <c r="AY29" s="174"/>
      <c r="AZ29" s="174"/>
      <c r="BA29" s="174"/>
      <c r="BB29" s="174"/>
      <c r="BC29" s="174"/>
      <c r="BD29" s="174"/>
      <c r="BE29" s="174"/>
      <c r="BF29" s="174"/>
      <c r="BG29" s="174"/>
    </row>
    <row r="30" spans="1:59" ht="14.1" customHeight="1" thickBot="1" x14ac:dyDescent="0.3">
      <c r="A30" s="12"/>
      <c r="B30" s="12"/>
      <c r="C30" s="241"/>
      <c r="D30" s="244"/>
      <c r="E30" s="77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76"/>
      <c r="X30" s="177"/>
      <c r="Y30" s="176"/>
      <c r="Z30" s="178"/>
      <c r="AA30" s="179"/>
      <c r="AB30" s="177"/>
      <c r="AC30" s="176"/>
      <c r="AD30" s="178"/>
      <c r="AE30" s="179"/>
      <c r="AF30" s="180"/>
      <c r="AG30" s="177"/>
      <c r="AH30" s="181"/>
      <c r="AI30" s="182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</row>
    <row r="31" spans="1:59" ht="14.1" customHeight="1" x14ac:dyDescent="0.25">
      <c r="A31" s="12"/>
      <c r="B31" s="12"/>
      <c r="C31" s="241"/>
      <c r="D31" s="244"/>
      <c r="E31" s="77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76"/>
      <c r="X31" s="177"/>
      <c r="Y31" s="176"/>
      <c r="Z31" s="178"/>
      <c r="AA31" s="179"/>
      <c r="AB31" s="177"/>
      <c r="AC31" s="176"/>
      <c r="AD31" s="178"/>
      <c r="AE31" s="179"/>
      <c r="AF31" s="180"/>
      <c r="AG31" s="177"/>
      <c r="AH31" s="181"/>
      <c r="AI31" s="182"/>
      <c r="AJ31" s="185" t="s">
        <v>436</v>
      </c>
      <c r="AK31" s="185"/>
      <c r="AL31" s="185"/>
      <c r="AM31" s="185"/>
      <c r="AN31" s="185"/>
      <c r="AO31" s="185"/>
      <c r="AP31" s="185"/>
      <c r="AQ31" s="185"/>
      <c r="AR31" s="185"/>
      <c r="AS31" s="185"/>
      <c r="AT31" s="185"/>
      <c r="AU31" s="185"/>
      <c r="AV31" s="185"/>
      <c r="AW31" s="185"/>
      <c r="AX31" s="185"/>
      <c r="AY31" s="185"/>
      <c r="AZ31" s="185"/>
      <c r="BA31" s="185"/>
      <c r="BB31" s="185"/>
      <c r="BC31" s="185"/>
      <c r="BD31" s="185"/>
      <c r="BE31" s="185"/>
      <c r="BF31" s="185"/>
      <c r="BG31" s="185"/>
    </row>
    <row r="32" spans="1:59" ht="14.1" customHeight="1" thickBot="1" x14ac:dyDescent="0.3">
      <c r="A32" s="12"/>
      <c r="B32" s="12"/>
      <c r="C32" s="241"/>
      <c r="D32" s="244"/>
      <c r="E32" s="77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88"/>
      <c r="X32" s="189"/>
      <c r="Y32" s="190"/>
      <c r="Z32" s="191"/>
      <c r="AA32" s="192"/>
      <c r="AB32" s="189"/>
      <c r="AC32" s="190"/>
      <c r="AD32" s="191"/>
      <c r="AE32" s="192"/>
      <c r="AF32" s="193"/>
      <c r="AG32" s="189"/>
      <c r="AH32" s="194"/>
      <c r="AI32" s="195"/>
      <c r="AJ32" s="186"/>
      <c r="AK32" s="186"/>
      <c r="AL32" s="186"/>
      <c r="AM32" s="186"/>
      <c r="AN32" s="186"/>
      <c r="AO32" s="186"/>
      <c r="AP32" s="186"/>
      <c r="AQ32" s="186"/>
      <c r="AR32" s="186"/>
      <c r="AS32" s="186"/>
      <c r="AT32" s="186"/>
      <c r="AU32" s="186"/>
      <c r="AV32" s="186"/>
      <c r="AW32" s="186"/>
      <c r="AX32" s="186"/>
      <c r="AY32" s="186"/>
      <c r="AZ32" s="186"/>
      <c r="BA32" s="186"/>
      <c r="BB32" s="186"/>
      <c r="BC32" s="186"/>
      <c r="BD32" s="186"/>
      <c r="BE32" s="186"/>
      <c r="BF32" s="186"/>
      <c r="BG32" s="186"/>
    </row>
    <row r="33" spans="1:59" ht="14.1" customHeight="1" thickBot="1" x14ac:dyDescent="0.3">
      <c r="A33" s="12"/>
      <c r="B33" s="12"/>
      <c r="C33" s="241"/>
      <c r="D33" s="244"/>
      <c r="E33" s="77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96" t="s">
        <v>25</v>
      </c>
      <c r="X33" s="196"/>
      <c r="Y33" s="196" t="s">
        <v>438</v>
      </c>
      <c r="Z33" s="196"/>
      <c r="AA33" s="196" t="s">
        <v>18</v>
      </c>
      <c r="AB33" s="196"/>
      <c r="AC33" s="196" t="s">
        <v>23</v>
      </c>
      <c r="AD33" s="196"/>
      <c r="AE33" s="196" t="s">
        <v>22</v>
      </c>
      <c r="AF33" s="196"/>
      <c r="AG33" s="196"/>
      <c r="AH33" s="196" t="s">
        <v>21</v>
      </c>
      <c r="AI33" s="196"/>
      <c r="AJ33" s="187"/>
      <c r="AK33" s="187"/>
      <c r="AL33" s="187"/>
      <c r="AM33" s="187"/>
      <c r="AN33" s="187"/>
      <c r="AO33" s="187"/>
      <c r="AP33" s="187"/>
      <c r="AQ33" s="187"/>
      <c r="AR33" s="187"/>
      <c r="AS33" s="187"/>
      <c r="AT33" s="187"/>
      <c r="AU33" s="187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</row>
    <row r="34" spans="1:59" ht="14.1" customHeight="1" thickBot="1" x14ac:dyDescent="0.3">
      <c r="A34" s="12"/>
      <c r="B34" s="12"/>
      <c r="C34" s="247"/>
      <c r="D34" s="249"/>
      <c r="E34" s="77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212" t="s">
        <v>57</v>
      </c>
      <c r="X34" s="212"/>
      <c r="Y34" s="212"/>
      <c r="Z34" s="212"/>
      <c r="AA34" s="212" t="s">
        <v>439</v>
      </c>
      <c r="AB34" s="212"/>
      <c r="AC34" s="212"/>
      <c r="AD34" s="212"/>
      <c r="AE34" s="213"/>
      <c r="AF34" s="213"/>
      <c r="AG34" s="213"/>
      <c r="AH34" s="202" t="s">
        <v>440</v>
      </c>
      <c r="AI34" s="202"/>
      <c r="AJ34" s="215" t="s">
        <v>76</v>
      </c>
      <c r="AK34" s="204"/>
      <c r="AL34" s="204"/>
      <c r="AM34" s="204"/>
      <c r="AN34" s="204"/>
      <c r="AO34" s="204"/>
      <c r="AP34" s="204"/>
      <c r="AQ34" s="204"/>
      <c r="AR34" s="204"/>
      <c r="AS34" s="204"/>
      <c r="AT34" s="204"/>
      <c r="AU34" s="204"/>
      <c r="AV34" s="204"/>
      <c r="AW34" s="207"/>
      <c r="AX34" s="209" t="s">
        <v>31</v>
      </c>
      <c r="AY34" s="210"/>
      <c r="AZ34" s="210"/>
      <c r="BA34" s="210" t="s">
        <v>18</v>
      </c>
      <c r="BB34" s="210"/>
      <c r="BC34" s="210"/>
      <c r="BD34" s="210" t="s">
        <v>32</v>
      </c>
      <c r="BE34" s="210"/>
      <c r="BF34" s="210"/>
      <c r="BG34" s="211"/>
    </row>
    <row r="35" spans="1:59" ht="14.1" customHeight="1" x14ac:dyDescent="0.25">
      <c r="A35" s="12"/>
      <c r="B35" s="12"/>
      <c r="C35" s="240" t="s">
        <v>77</v>
      </c>
      <c r="D35" s="243"/>
      <c r="E35" s="6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3"/>
      <c r="W35" s="200" t="s">
        <v>441</v>
      </c>
      <c r="X35" s="200"/>
      <c r="Y35" s="200"/>
      <c r="Z35" s="200"/>
      <c r="AA35" s="200" t="s">
        <v>442</v>
      </c>
      <c r="AB35" s="200"/>
      <c r="AC35" s="200"/>
      <c r="AD35" s="200"/>
      <c r="AE35" s="201"/>
      <c r="AF35" s="201"/>
      <c r="AG35" s="201"/>
      <c r="AH35" s="202" t="s">
        <v>440</v>
      </c>
      <c r="AI35" s="202"/>
      <c r="AJ35" s="216"/>
      <c r="AK35" s="217"/>
      <c r="AL35" s="217"/>
      <c r="AM35" s="217"/>
      <c r="AN35" s="217"/>
      <c r="AO35" s="217"/>
      <c r="AP35" s="217"/>
      <c r="AQ35" s="217"/>
      <c r="AR35" s="217"/>
      <c r="AS35" s="217"/>
      <c r="AT35" s="217"/>
      <c r="AU35" s="217"/>
      <c r="AV35" s="217"/>
      <c r="AW35" s="218"/>
      <c r="AX35" s="203" t="s">
        <v>47</v>
      </c>
      <c r="AY35" s="204"/>
      <c r="AZ35" s="204"/>
      <c r="BA35" s="204">
        <v>1</v>
      </c>
      <c r="BB35" s="204"/>
      <c r="BC35" s="204"/>
      <c r="BD35" s="204">
        <v>16</v>
      </c>
      <c r="BE35" s="204"/>
      <c r="BF35" s="204"/>
      <c r="BG35" s="207"/>
    </row>
    <row r="36" spans="1:59" ht="14.1" customHeight="1" thickBot="1" x14ac:dyDescent="0.3">
      <c r="A36" s="12"/>
      <c r="B36" s="12"/>
      <c r="C36" s="241"/>
      <c r="D36" s="244"/>
      <c r="E36" s="6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3"/>
      <c r="W36" s="200"/>
      <c r="X36" s="200"/>
      <c r="Y36" s="200"/>
      <c r="Z36" s="200"/>
      <c r="AA36" s="200"/>
      <c r="AB36" s="200"/>
      <c r="AC36" s="200"/>
      <c r="AD36" s="200"/>
      <c r="AE36" s="201"/>
      <c r="AF36" s="201"/>
      <c r="AG36" s="201"/>
      <c r="AH36" s="214"/>
      <c r="AI36" s="214"/>
      <c r="AJ36" s="205"/>
      <c r="AK36" s="206"/>
      <c r="AL36" s="206"/>
      <c r="AM36" s="206"/>
      <c r="AN36" s="206"/>
      <c r="AO36" s="206"/>
      <c r="AP36" s="206"/>
      <c r="AQ36" s="206"/>
      <c r="AR36" s="206"/>
      <c r="AS36" s="206"/>
      <c r="AT36" s="206"/>
      <c r="AU36" s="206"/>
      <c r="AV36" s="206"/>
      <c r="AW36" s="208"/>
      <c r="AX36" s="205"/>
      <c r="AY36" s="206"/>
      <c r="AZ36" s="206"/>
      <c r="BA36" s="206"/>
      <c r="BB36" s="206"/>
      <c r="BC36" s="206"/>
      <c r="BD36" s="206"/>
      <c r="BE36" s="206"/>
      <c r="BF36" s="206"/>
      <c r="BG36" s="208"/>
    </row>
    <row r="37" spans="1:59" ht="14.1" customHeight="1" x14ac:dyDescent="0.25">
      <c r="A37" s="12"/>
      <c r="B37" s="12"/>
      <c r="C37" s="241"/>
      <c r="D37" s="244"/>
      <c r="E37" s="6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200" t="s">
        <v>443</v>
      </c>
      <c r="X37" s="200"/>
      <c r="Y37" s="200"/>
      <c r="Z37" s="200"/>
      <c r="AA37" s="200" t="s">
        <v>444</v>
      </c>
      <c r="AB37" s="200"/>
      <c r="AC37" s="200"/>
      <c r="AD37" s="200"/>
      <c r="AE37" s="201"/>
      <c r="AF37" s="201"/>
      <c r="AG37" s="201"/>
      <c r="AH37" s="202" t="s">
        <v>440</v>
      </c>
      <c r="AI37" s="202"/>
      <c r="AJ37" s="221" t="s">
        <v>48</v>
      </c>
      <c r="AK37" s="222"/>
      <c r="AL37" s="222"/>
      <c r="AM37" s="222"/>
      <c r="AN37" s="222"/>
      <c r="AO37" s="222"/>
      <c r="AP37" s="222"/>
      <c r="AQ37" s="222"/>
      <c r="AR37" s="222"/>
      <c r="AS37" s="222"/>
      <c r="AT37" s="222"/>
      <c r="AU37" s="222"/>
      <c r="AV37" s="222"/>
      <c r="AW37" s="223"/>
      <c r="AX37" s="197" t="s">
        <v>437</v>
      </c>
      <c r="AY37" s="197"/>
      <c r="AZ37" s="197"/>
      <c r="BA37" s="197"/>
      <c r="BB37" s="197"/>
      <c r="BC37" s="197"/>
      <c r="BD37" s="197"/>
      <c r="BE37" s="197"/>
      <c r="BF37" s="197"/>
      <c r="BG37" s="197"/>
    </row>
    <row r="38" spans="1:59" ht="14.1" customHeight="1" x14ac:dyDescent="0.25">
      <c r="A38" s="12"/>
      <c r="B38" s="12"/>
      <c r="C38" s="241"/>
      <c r="D38" s="244"/>
      <c r="E38" s="6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200" t="s">
        <v>49</v>
      </c>
      <c r="X38" s="200"/>
      <c r="Y38" s="200"/>
      <c r="Z38" s="200"/>
      <c r="AA38" s="200" t="s">
        <v>445</v>
      </c>
      <c r="AB38" s="200"/>
      <c r="AC38" s="200"/>
      <c r="AD38" s="200"/>
      <c r="AE38" s="201"/>
      <c r="AF38" s="201"/>
      <c r="AG38" s="201"/>
      <c r="AH38" s="202" t="s">
        <v>440</v>
      </c>
      <c r="AI38" s="202"/>
      <c r="AJ38" s="216"/>
      <c r="AK38" s="217"/>
      <c r="AL38" s="217"/>
      <c r="AM38" s="217"/>
      <c r="AN38" s="217"/>
      <c r="AO38" s="217"/>
      <c r="AP38" s="217"/>
      <c r="AQ38" s="217"/>
      <c r="AR38" s="217"/>
      <c r="AS38" s="217"/>
      <c r="AT38" s="217"/>
      <c r="AU38" s="217"/>
      <c r="AV38" s="217"/>
      <c r="AW38" s="224"/>
      <c r="AX38" s="198"/>
      <c r="AY38" s="198"/>
      <c r="AZ38" s="198"/>
      <c r="BA38" s="198"/>
      <c r="BB38" s="198"/>
      <c r="BC38" s="198"/>
      <c r="BD38" s="198"/>
      <c r="BE38" s="198"/>
      <c r="BF38" s="198"/>
      <c r="BG38" s="198"/>
    </row>
    <row r="39" spans="1:59" ht="14.1" customHeight="1" thickBot="1" x14ac:dyDescent="0.3">
      <c r="A39" s="12"/>
      <c r="B39" s="12"/>
      <c r="C39" s="247"/>
      <c r="D39" s="249"/>
      <c r="E39" s="62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219"/>
      <c r="X39" s="219"/>
      <c r="Y39" s="219"/>
      <c r="Z39" s="219"/>
      <c r="AA39" s="220"/>
      <c r="AB39" s="220"/>
      <c r="AC39" s="220"/>
      <c r="AD39" s="220"/>
      <c r="AE39" s="220"/>
      <c r="AF39" s="220"/>
      <c r="AG39" s="220"/>
      <c r="AH39" s="219"/>
      <c r="AI39" s="219"/>
      <c r="AJ39" s="205"/>
      <c r="AK39" s="206"/>
      <c r="AL39" s="206"/>
      <c r="AM39" s="206"/>
      <c r="AN39" s="206"/>
      <c r="AO39" s="206"/>
      <c r="AP39" s="206"/>
      <c r="AQ39" s="206"/>
      <c r="AR39" s="206"/>
      <c r="AS39" s="206"/>
      <c r="AT39" s="206"/>
      <c r="AU39" s="206"/>
      <c r="AV39" s="206"/>
      <c r="AW39" s="225"/>
      <c r="AX39" s="199"/>
      <c r="AY39" s="199"/>
      <c r="AZ39" s="199"/>
      <c r="BA39" s="199"/>
      <c r="BB39" s="199"/>
      <c r="BC39" s="199"/>
      <c r="BD39" s="199"/>
      <c r="BE39" s="199"/>
      <c r="BF39" s="199"/>
      <c r="BG39" s="199"/>
    </row>
  </sheetData>
  <mergeCells count="117">
    <mergeCell ref="E7:F8"/>
    <mergeCell ref="G7:AP8"/>
    <mergeCell ref="AQ7:AX8"/>
    <mergeCell ref="AY7:BG8"/>
    <mergeCell ref="E9:F10"/>
    <mergeCell ref="G9:AP10"/>
    <mergeCell ref="AY13:BG14"/>
    <mergeCell ref="E15:F16"/>
    <mergeCell ref="G15:AP16"/>
    <mergeCell ref="AQ15:AX16"/>
    <mergeCell ref="AY15:BG16"/>
    <mergeCell ref="E2:F4"/>
    <mergeCell ref="G2:AP4"/>
    <mergeCell ref="AQ2:AX4"/>
    <mergeCell ref="AY2:BG4"/>
    <mergeCell ref="E5:F6"/>
    <mergeCell ref="G5:AP6"/>
    <mergeCell ref="AQ5:AX6"/>
    <mergeCell ref="AY5:BG6"/>
    <mergeCell ref="E1:BG1"/>
    <mergeCell ref="C23:C27"/>
    <mergeCell ref="D23:D27"/>
    <mergeCell ref="C28:C34"/>
    <mergeCell ref="D28:D34"/>
    <mergeCell ref="C35:C39"/>
    <mergeCell ref="D35:D39"/>
    <mergeCell ref="C11:C12"/>
    <mergeCell ref="D11:D12"/>
    <mergeCell ref="C15:C18"/>
    <mergeCell ref="D15:D18"/>
    <mergeCell ref="C19:C22"/>
    <mergeCell ref="D19:D22"/>
    <mergeCell ref="B11:B22"/>
    <mergeCell ref="C13:C14"/>
    <mergeCell ref="D13:D14"/>
    <mergeCell ref="AQ9:AX10"/>
    <mergeCell ref="AY9:BG10"/>
    <mergeCell ref="E11:F12"/>
    <mergeCell ref="G11:AP12"/>
    <mergeCell ref="AQ11:AX12"/>
    <mergeCell ref="AY11:BG12"/>
    <mergeCell ref="E13:F14"/>
    <mergeCell ref="G13:AP14"/>
    <mergeCell ref="AQ13:AX14"/>
    <mergeCell ref="E17:F18"/>
    <mergeCell ref="G17:AP18"/>
    <mergeCell ref="AQ17:AX18"/>
    <mergeCell ref="AY17:BG18"/>
    <mergeCell ref="E19:F20"/>
    <mergeCell ref="G19:AP20"/>
    <mergeCell ref="AQ19:AX20"/>
    <mergeCell ref="AY19:BG20"/>
    <mergeCell ref="W39:Z39"/>
    <mergeCell ref="AA39:AD39"/>
    <mergeCell ref="AE39:AG39"/>
    <mergeCell ref="AH39:AI39"/>
    <mergeCell ref="W37:Z37"/>
    <mergeCell ref="AA37:AD37"/>
    <mergeCell ref="AE37:AG37"/>
    <mergeCell ref="AH37:AI37"/>
    <mergeCell ref="AJ37:AW39"/>
    <mergeCell ref="AX37:BG39"/>
    <mergeCell ref="W38:Z38"/>
    <mergeCell ref="AA38:AD38"/>
    <mergeCell ref="AE38:AG38"/>
    <mergeCell ref="AH38:AI38"/>
    <mergeCell ref="AX35:AZ36"/>
    <mergeCell ref="BA35:BC36"/>
    <mergeCell ref="BD35:BG36"/>
    <mergeCell ref="AX34:AZ34"/>
    <mergeCell ref="BA34:BC34"/>
    <mergeCell ref="BD34:BG34"/>
    <mergeCell ref="W35:Z35"/>
    <mergeCell ref="AA35:AD35"/>
    <mergeCell ref="AE35:AG35"/>
    <mergeCell ref="AH35:AI35"/>
    <mergeCell ref="W34:Z34"/>
    <mergeCell ref="AA34:AD34"/>
    <mergeCell ref="AE34:AG34"/>
    <mergeCell ref="AH34:AI34"/>
    <mergeCell ref="W36:Z36"/>
    <mergeCell ref="AA36:AD36"/>
    <mergeCell ref="AE36:AG36"/>
    <mergeCell ref="AH36:AI36"/>
    <mergeCell ref="AJ34:AW36"/>
    <mergeCell ref="AE31:AG31"/>
    <mergeCell ref="AH31:AI31"/>
    <mergeCell ref="AJ31:BG33"/>
    <mergeCell ref="W32:X32"/>
    <mergeCell ref="Y32:Z32"/>
    <mergeCell ref="AA32:AB32"/>
    <mergeCell ref="AC32:AD32"/>
    <mergeCell ref="AE32:AG32"/>
    <mergeCell ref="AH32:AI32"/>
    <mergeCell ref="W33:X33"/>
    <mergeCell ref="W31:X31"/>
    <mergeCell ref="Y31:Z31"/>
    <mergeCell ref="AA31:AB31"/>
    <mergeCell ref="AC31:AD31"/>
    <mergeCell ref="Y33:Z33"/>
    <mergeCell ref="AA33:AB33"/>
    <mergeCell ref="AC33:AD33"/>
    <mergeCell ref="AE33:AG33"/>
    <mergeCell ref="AH33:AI33"/>
    <mergeCell ref="AE29:AG29"/>
    <mergeCell ref="AH29:AI29"/>
    <mergeCell ref="AJ29:BG30"/>
    <mergeCell ref="W30:X30"/>
    <mergeCell ref="Y30:Z30"/>
    <mergeCell ref="AA30:AB30"/>
    <mergeCell ref="AC30:AD30"/>
    <mergeCell ref="AE30:AG30"/>
    <mergeCell ref="AH30:AI30"/>
    <mergeCell ref="W29:X29"/>
    <mergeCell ref="Y29:Z29"/>
    <mergeCell ref="AA29:AB29"/>
    <mergeCell ref="AC29:AD29"/>
  </mergeCells>
  <pageMargins left="0.19685039370078741" right="0.19685039370078741" top="0.19685039370078741" bottom="0.1875" header="0.31496062992125984" footer="0.31496062992125984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CE46"/>
  <sheetViews>
    <sheetView view="pageLayout" topLeftCell="A24" zoomScaleNormal="100" workbookViewId="0">
      <selection activeCell="BH35" sqref="BH35:CE37"/>
    </sheetView>
  </sheetViews>
  <sheetFormatPr defaultColWidth="9.140625" defaultRowHeight="15" x14ac:dyDescent="0.25"/>
  <cols>
    <col min="1" max="4" width="2.42578125" customWidth="1"/>
    <col min="5" max="5" width="4.85546875" customWidth="1"/>
    <col min="6" max="93" width="2.42578125" customWidth="1"/>
  </cols>
  <sheetData>
    <row r="1" spans="1:83" ht="56.25" hidden="1" customHeight="1" x14ac:dyDescent="0.25">
      <c r="AA1" s="311" t="s">
        <v>95</v>
      </c>
      <c r="AB1" s="312"/>
      <c r="AC1" s="311" t="s">
        <v>93</v>
      </c>
      <c r="AD1" s="312"/>
      <c r="AE1" s="311" t="s">
        <v>92</v>
      </c>
      <c r="AF1" s="312"/>
      <c r="AG1" s="311" t="s">
        <v>60</v>
      </c>
      <c r="AH1" s="312"/>
      <c r="AI1" s="311" t="s">
        <v>60</v>
      </c>
      <c r="AJ1" s="312"/>
      <c r="AK1" s="311" t="s">
        <v>60</v>
      </c>
      <c r="AL1" s="312"/>
      <c r="AM1" s="311" t="s">
        <v>59</v>
      </c>
      <c r="AN1" s="312"/>
      <c r="AO1" s="311" t="s">
        <v>59</v>
      </c>
      <c r="AP1" s="312"/>
      <c r="AQ1" s="311" t="s">
        <v>59</v>
      </c>
      <c r="AR1" s="312"/>
      <c r="AS1" s="311" t="s">
        <v>59</v>
      </c>
      <c r="AT1" s="312"/>
      <c r="AU1" s="311" t="s">
        <v>59</v>
      </c>
      <c r="AV1" s="312"/>
      <c r="AW1" s="311" t="s">
        <v>59</v>
      </c>
      <c r="AX1" s="312"/>
      <c r="AY1" s="311" t="s">
        <v>59</v>
      </c>
      <c r="AZ1" s="312"/>
      <c r="BA1" s="311" t="s">
        <v>59</v>
      </c>
      <c r="BB1" s="312"/>
      <c r="BC1" s="311" t="s">
        <v>59</v>
      </c>
      <c r="BD1" s="312"/>
      <c r="BE1" s="311" t="s">
        <v>59</v>
      </c>
      <c r="BF1" s="312"/>
      <c r="BG1" s="311" t="s">
        <v>59</v>
      </c>
      <c r="BH1" s="312"/>
      <c r="BI1" s="311" t="s">
        <v>59</v>
      </c>
      <c r="BJ1" s="312"/>
      <c r="BK1" s="311" t="s">
        <v>59</v>
      </c>
      <c r="BL1" s="312"/>
      <c r="BM1" s="311" t="s">
        <v>59</v>
      </c>
      <c r="BN1" s="312"/>
      <c r="BO1" s="311" t="s">
        <v>59</v>
      </c>
      <c r="BP1" s="312"/>
      <c r="BQ1" s="311" t="s">
        <v>59</v>
      </c>
      <c r="BR1" s="312"/>
      <c r="BS1" s="311" t="s">
        <v>59</v>
      </c>
      <c r="BT1" s="312"/>
      <c r="BU1" s="311" t="s">
        <v>59</v>
      </c>
      <c r="BV1" s="312"/>
    </row>
    <row r="2" spans="1:83" ht="56.25" hidden="1" customHeight="1" thickBot="1" x14ac:dyDescent="0.3">
      <c r="AA2" s="313" t="s">
        <v>8</v>
      </c>
      <c r="AB2" s="314"/>
      <c r="AC2" s="313" t="s">
        <v>8</v>
      </c>
      <c r="AD2" s="314"/>
      <c r="AE2" s="313" t="s">
        <v>8</v>
      </c>
      <c r="AF2" s="314"/>
      <c r="AG2" s="313" t="s">
        <v>8</v>
      </c>
      <c r="AH2" s="314"/>
      <c r="AI2" s="313" t="s">
        <v>8</v>
      </c>
      <c r="AJ2" s="314"/>
      <c r="AK2" s="313" t="s">
        <v>11</v>
      </c>
      <c r="AL2" s="314"/>
      <c r="AM2" s="313" t="s">
        <v>10</v>
      </c>
      <c r="AN2" s="314"/>
      <c r="AO2" s="313" t="s">
        <v>11</v>
      </c>
      <c r="AP2" s="314"/>
      <c r="AQ2" s="313" t="s">
        <v>11</v>
      </c>
      <c r="AR2" s="314"/>
      <c r="AS2" s="313" t="s">
        <v>11</v>
      </c>
      <c r="AT2" s="314"/>
      <c r="AU2" s="313" t="s">
        <v>11</v>
      </c>
      <c r="AV2" s="314"/>
      <c r="AW2" s="313" t="s">
        <v>11</v>
      </c>
      <c r="AX2" s="314"/>
      <c r="AY2" s="313" t="s">
        <v>10</v>
      </c>
      <c r="AZ2" s="314"/>
      <c r="BA2" s="313" t="s">
        <v>8</v>
      </c>
      <c r="BB2" s="314"/>
      <c r="BC2" s="313" t="s">
        <v>8</v>
      </c>
      <c r="BD2" s="314"/>
      <c r="BE2" s="313" t="s">
        <v>8</v>
      </c>
      <c r="BF2" s="314"/>
      <c r="BG2" s="313" t="s">
        <v>8</v>
      </c>
      <c r="BH2" s="314"/>
      <c r="BI2" s="313" t="s">
        <v>8</v>
      </c>
      <c r="BJ2" s="314"/>
      <c r="BK2" s="313" t="s">
        <v>8</v>
      </c>
      <c r="BL2" s="314"/>
      <c r="BM2" s="313" t="s">
        <v>8</v>
      </c>
      <c r="BN2" s="314"/>
      <c r="BO2" s="313" t="s">
        <v>8</v>
      </c>
      <c r="BP2" s="314"/>
      <c r="BQ2" s="313" t="s">
        <v>8</v>
      </c>
      <c r="BR2" s="314"/>
      <c r="BS2" s="313" t="s">
        <v>8</v>
      </c>
      <c r="BT2" s="314"/>
      <c r="BU2" s="313" t="s">
        <v>8</v>
      </c>
      <c r="BV2" s="314"/>
    </row>
    <row r="3" spans="1:83" ht="16.5" customHeight="1" thickBot="1" x14ac:dyDescent="0.3">
      <c r="A3" s="20"/>
      <c r="B3" s="20"/>
      <c r="C3" s="20"/>
      <c r="D3" s="20"/>
      <c r="E3" s="297" t="s">
        <v>15</v>
      </c>
      <c r="F3" s="289" t="s">
        <v>16</v>
      </c>
      <c r="G3" s="293"/>
      <c r="H3" s="293"/>
      <c r="I3" s="293"/>
      <c r="J3" s="293"/>
      <c r="K3" s="293"/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0"/>
      <c r="AA3" s="289" t="str">
        <f>AA1</f>
        <v>ПвПу</v>
      </c>
      <c r="AB3" s="290"/>
      <c r="AC3" s="289" t="str">
        <f>AC1</f>
        <v>ПРКС</v>
      </c>
      <c r="AD3" s="290"/>
      <c r="AE3" s="341" t="str">
        <f>AE1</f>
        <v>КГН</v>
      </c>
      <c r="AF3" s="341"/>
      <c r="AG3" s="289" t="str">
        <f>AG1</f>
        <v>ВВГнг(А)-FRLS</v>
      </c>
      <c r="AH3" s="293"/>
      <c r="AI3" s="293"/>
      <c r="AJ3" s="293"/>
      <c r="AK3" s="293"/>
      <c r="AL3" s="290"/>
      <c r="AM3" s="289" t="str">
        <f>AM1</f>
        <v>ВВГнг(А)-LS</v>
      </c>
      <c r="AN3" s="293"/>
      <c r="AO3" s="293"/>
      <c r="AP3" s="293"/>
      <c r="AQ3" s="293"/>
      <c r="AR3" s="293"/>
      <c r="AS3" s="293"/>
      <c r="AT3" s="293"/>
      <c r="AU3" s="293"/>
      <c r="AV3" s="293"/>
      <c r="AW3" s="293"/>
      <c r="AX3" s="293"/>
      <c r="AY3" s="293"/>
      <c r="AZ3" s="293"/>
      <c r="BA3" s="293"/>
      <c r="BB3" s="293"/>
      <c r="BC3" s="293"/>
      <c r="BD3" s="293"/>
      <c r="BE3" s="293"/>
      <c r="BF3" s="293"/>
      <c r="BG3" s="293"/>
      <c r="BH3" s="293"/>
      <c r="BI3" s="293"/>
      <c r="BJ3" s="293"/>
      <c r="BK3" s="293"/>
      <c r="BL3" s="290"/>
      <c r="BM3" s="289" t="s">
        <v>3</v>
      </c>
      <c r="BN3" s="293"/>
      <c r="BO3" s="293"/>
      <c r="BP3" s="293"/>
      <c r="BQ3" s="293"/>
      <c r="BR3" s="293"/>
      <c r="BS3" s="293"/>
      <c r="BT3" s="293"/>
      <c r="BU3" s="290"/>
      <c r="BV3" s="167"/>
      <c r="BW3" s="167"/>
      <c r="BX3" s="167"/>
      <c r="BY3" s="167"/>
      <c r="BZ3" s="167"/>
      <c r="CA3" s="167"/>
      <c r="CB3" s="167"/>
      <c r="CC3" s="167"/>
      <c r="CD3" s="167"/>
      <c r="CE3" s="168"/>
    </row>
    <row r="4" spans="1:83" ht="15" customHeight="1" thickBot="1" x14ac:dyDescent="0.3">
      <c r="A4" s="22"/>
      <c r="B4" s="22"/>
      <c r="C4" s="22"/>
      <c r="D4" s="22"/>
      <c r="E4" s="281"/>
      <c r="F4" s="315"/>
      <c r="G4" s="316"/>
      <c r="H4" s="316"/>
      <c r="I4" s="316"/>
      <c r="J4" s="316"/>
      <c r="K4" s="316"/>
      <c r="L4" s="316"/>
      <c r="M4" s="316"/>
      <c r="N4" s="316"/>
      <c r="O4" s="316"/>
      <c r="P4" s="316"/>
      <c r="Q4" s="316"/>
      <c r="R4" s="316"/>
      <c r="S4" s="316"/>
      <c r="T4" s="316"/>
      <c r="U4" s="316"/>
      <c r="V4" s="316"/>
      <c r="W4" s="316"/>
      <c r="X4" s="316"/>
      <c r="Y4" s="316"/>
      <c r="Z4" s="317"/>
      <c r="AA4" s="291"/>
      <c r="AB4" s="292"/>
      <c r="AC4" s="291"/>
      <c r="AD4" s="292"/>
      <c r="AE4" s="341"/>
      <c r="AF4" s="341"/>
      <c r="AG4" s="291"/>
      <c r="AH4" s="294"/>
      <c r="AI4" s="294"/>
      <c r="AJ4" s="294"/>
      <c r="AK4" s="294"/>
      <c r="AL4" s="292"/>
      <c r="AM4" s="291"/>
      <c r="AN4" s="294"/>
      <c r="AO4" s="294"/>
      <c r="AP4" s="294"/>
      <c r="AQ4" s="294"/>
      <c r="AR4" s="294"/>
      <c r="AS4" s="294"/>
      <c r="AT4" s="294"/>
      <c r="AU4" s="294"/>
      <c r="AV4" s="294"/>
      <c r="AW4" s="294"/>
      <c r="AX4" s="294"/>
      <c r="AY4" s="294"/>
      <c r="AZ4" s="294"/>
      <c r="BA4" s="294"/>
      <c r="BB4" s="294"/>
      <c r="BC4" s="294"/>
      <c r="BD4" s="294"/>
      <c r="BE4" s="294"/>
      <c r="BF4" s="294"/>
      <c r="BG4" s="294"/>
      <c r="BH4" s="294"/>
      <c r="BI4" s="294"/>
      <c r="BJ4" s="294"/>
      <c r="BK4" s="294"/>
      <c r="BL4" s="292"/>
      <c r="BM4" s="315"/>
      <c r="BN4" s="316"/>
      <c r="BO4" s="316"/>
      <c r="BP4" s="316"/>
      <c r="BQ4" s="316"/>
      <c r="BR4" s="316"/>
      <c r="BS4" s="316"/>
      <c r="BT4" s="316"/>
      <c r="BU4" s="317"/>
      <c r="BV4" s="13"/>
      <c r="BW4" s="13"/>
      <c r="BX4" s="13"/>
      <c r="BY4" s="13"/>
      <c r="BZ4" s="13"/>
      <c r="CA4" s="13"/>
      <c r="CB4" s="13"/>
      <c r="CC4" s="13"/>
      <c r="CD4" s="13"/>
      <c r="CE4" s="61"/>
    </row>
    <row r="5" spans="1:83" ht="39.950000000000003" customHeight="1" thickBot="1" x14ac:dyDescent="0.3">
      <c r="A5" s="22"/>
      <c r="B5" s="22"/>
      <c r="C5" s="22"/>
      <c r="D5" s="22"/>
      <c r="E5" s="384"/>
      <c r="F5" s="315"/>
      <c r="G5" s="316"/>
      <c r="H5" s="316"/>
      <c r="I5" s="316"/>
      <c r="J5" s="316"/>
      <c r="K5" s="316"/>
      <c r="L5" s="316"/>
      <c r="M5" s="316"/>
      <c r="N5" s="316"/>
      <c r="O5" s="316"/>
      <c r="P5" s="316"/>
      <c r="Q5" s="316"/>
      <c r="R5" s="316"/>
      <c r="S5" s="316"/>
      <c r="T5" s="316"/>
      <c r="U5" s="316"/>
      <c r="V5" s="316"/>
      <c r="W5" s="316"/>
      <c r="X5" s="316"/>
      <c r="Y5" s="316"/>
      <c r="Z5" s="317"/>
      <c r="AA5" s="295" t="s">
        <v>237</v>
      </c>
      <c r="AB5" s="296"/>
      <c r="AC5" s="295" t="s">
        <v>242</v>
      </c>
      <c r="AD5" s="296"/>
      <c r="AE5" s="295" t="s">
        <v>244</v>
      </c>
      <c r="AF5" s="296"/>
      <c r="AG5" s="295" t="s">
        <v>242</v>
      </c>
      <c r="AH5" s="296"/>
      <c r="AI5" s="295" t="s">
        <v>193</v>
      </c>
      <c r="AJ5" s="296"/>
      <c r="AK5" s="295" t="s">
        <v>200</v>
      </c>
      <c r="AL5" s="296"/>
      <c r="AM5" s="295" t="s">
        <v>240</v>
      </c>
      <c r="AN5" s="296"/>
      <c r="AO5" s="295" t="s">
        <v>215</v>
      </c>
      <c r="AP5" s="296"/>
      <c r="AQ5" s="295" t="s">
        <v>210</v>
      </c>
      <c r="AR5" s="296"/>
      <c r="AS5" s="295" t="s">
        <v>200</v>
      </c>
      <c r="AT5" s="296"/>
      <c r="AU5" s="295" t="s">
        <v>190</v>
      </c>
      <c r="AV5" s="296"/>
      <c r="AW5" s="295" t="s">
        <v>245</v>
      </c>
      <c r="AX5" s="296"/>
      <c r="AY5" s="295" t="s">
        <v>243</v>
      </c>
      <c r="AZ5" s="296"/>
      <c r="BA5" s="295" t="s">
        <v>240</v>
      </c>
      <c r="BB5" s="296"/>
      <c r="BC5" s="295" t="s">
        <v>198</v>
      </c>
      <c r="BD5" s="296"/>
      <c r="BE5" s="295" t="s">
        <v>193</v>
      </c>
      <c r="BF5" s="296"/>
      <c r="BG5" s="295" t="s">
        <v>188</v>
      </c>
      <c r="BH5" s="296"/>
      <c r="BI5" s="295" t="s">
        <v>244</v>
      </c>
      <c r="BJ5" s="296"/>
      <c r="BK5" s="295" t="s">
        <v>242</v>
      </c>
      <c r="BL5" s="296"/>
      <c r="BM5" s="291"/>
      <c r="BN5" s="294"/>
      <c r="BO5" s="294"/>
      <c r="BP5" s="294"/>
      <c r="BQ5" s="294"/>
      <c r="BR5" s="294"/>
      <c r="BS5" s="294"/>
      <c r="BT5" s="294"/>
      <c r="BU5" s="292"/>
      <c r="BV5" s="13"/>
      <c r="BW5" s="13"/>
      <c r="BX5" s="13"/>
      <c r="BY5" s="13"/>
      <c r="BZ5" s="13"/>
      <c r="CA5" s="13"/>
      <c r="CB5" s="13"/>
      <c r="CC5" s="13"/>
      <c r="CD5" s="13"/>
      <c r="CE5" s="61"/>
    </row>
    <row r="6" spans="1:83" ht="22.5" customHeight="1" x14ac:dyDescent="0.25">
      <c r="A6" s="22"/>
      <c r="B6" s="22"/>
      <c r="C6" s="22"/>
      <c r="D6" s="22"/>
      <c r="E6" s="146">
        <v>1</v>
      </c>
      <c r="F6" s="376" t="str">
        <f>Содержание!G5</f>
        <v>Наружное освещение</v>
      </c>
      <c r="G6" s="377"/>
      <c r="H6" s="377"/>
      <c r="I6" s="377"/>
      <c r="J6" s="377"/>
      <c r="K6" s="377"/>
      <c r="L6" s="377"/>
      <c r="M6" s="377"/>
      <c r="N6" s="377"/>
      <c r="O6" s="377"/>
      <c r="P6" s="377"/>
      <c r="Q6" s="377"/>
      <c r="R6" s="377"/>
      <c r="S6" s="377"/>
      <c r="T6" s="377"/>
      <c r="U6" s="377"/>
      <c r="V6" s="377"/>
      <c r="W6" s="377"/>
      <c r="X6" s="377"/>
      <c r="Y6" s="377"/>
      <c r="Z6" s="378"/>
      <c r="AA6" s="297" t="str">
        <f>IFERROR(GETPIVOTDATA("Длинна кабеля",'Сводная таблица'!$B$2,"Раздел",$F6,"Тип",AA$1,"Число и сечение жил",AA$5),"")</f>
        <v/>
      </c>
      <c r="AB6" s="297"/>
      <c r="AC6" s="297">
        <f>IFERROR(GETPIVOTDATA("Длинна кабеля",'Сводная таблица'!$B$2,"Раздел",$F6,"Тип",AC$1,"Число и сечение жил",AC$5),"")</f>
        <v>20</v>
      </c>
      <c r="AD6" s="297"/>
      <c r="AE6" s="297">
        <f>IFERROR(GETPIVOTDATA("Длинна кабеля",'Сводная таблица'!$B$2,"Раздел",$F6,"Тип",AE$1,"Число и сечение жил",AE$5),"")</f>
        <v>30</v>
      </c>
      <c r="AF6" s="297"/>
      <c r="AG6" s="297" t="str">
        <f>IFERROR(GETPIVOTDATA("Длинна кабеля",'Сводная таблица'!$B$2,"Раздел",$F6,"Тип",AG$1,"Число и сечение жил",AG$5),"")</f>
        <v/>
      </c>
      <c r="AH6" s="297"/>
      <c r="AI6" s="297" t="str">
        <f>IFERROR(GETPIVOTDATA("Длинна кабеля",'Сводная таблица'!$B$2,"Раздел",$F6,"Тип",AI$1,"Число и сечение жил",AI$5),"")</f>
        <v/>
      </c>
      <c r="AJ6" s="297"/>
      <c r="AK6" s="297" t="str">
        <f>IFERROR(GETPIVOTDATA("Длинна кабеля",'Сводная таблица'!$B$2,"Раздел",$F6,"Тип",AK$1,"Число и сечение жил",AK$5),"")</f>
        <v/>
      </c>
      <c r="AL6" s="297"/>
      <c r="AM6" s="297" t="str">
        <f>IFERROR(GETPIVOTDATA("Длинна кабеля",'Сводная таблица'!$B$2,"Раздел",$F6,"Тип",AM$1,"Число и сечение жил",AM$5),"")</f>
        <v/>
      </c>
      <c r="AN6" s="297"/>
      <c r="AO6" s="297" t="str">
        <f>IFERROR(GETPIVOTDATA("Длинна кабеля",'Сводная таблица'!$B$2,"Раздел",$F6,"Тип",AO$1,"Число и сечение жил",AO$5),"")</f>
        <v/>
      </c>
      <c r="AP6" s="297"/>
      <c r="AQ6" s="297" t="str">
        <f>IFERROR(GETPIVOTDATA("Длинна кабеля",'Сводная таблица'!$B$2,"Раздел",$F6,"Тип",AQ$1,"Число и сечение жил",AQ$5),"")</f>
        <v/>
      </c>
      <c r="AR6" s="297"/>
      <c r="AS6" s="297">
        <f>IFERROR(GETPIVOTDATA("Длинна кабеля",'Сводная таблица'!$B$2,"Раздел",$F6,"Тип",AS$1,"Число и сечение жил",AS$5),"")</f>
        <v>23</v>
      </c>
      <c r="AT6" s="297"/>
      <c r="AU6" s="297">
        <f>IFERROR(GETPIVOTDATA("Длинна кабеля",'Сводная таблица'!$B$2,"Раздел",$F6,"Тип",AU$1,"Число и сечение жил",AU$5),"")</f>
        <v>380</v>
      </c>
      <c r="AV6" s="297"/>
      <c r="AW6" s="297">
        <f>IFERROR(GETPIVOTDATA("Длинна кабеля",'Сводная таблица'!$B$2,"Раздел",$F6,"Тип",AW$1,"Число и сечение жил",AW$5),"")</f>
        <v>110</v>
      </c>
      <c r="AX6" s="297"/>
      <c r="AY6" s="297" t="str">
        <f>IFERROR(GETPIVOTDATA("Длинна кабеля",'Сводная таблица'!$B$2,"Раздел",$F6,"Тип",AY$1,"Число и сечение жил",AY$5),"")</f>
        <v/>
      </c>
      <c r="AZ6" s="297"/>
      <c r="BA6" s="297" t="str">
        <f>IFERROR(GETPIVOTDATA("Длинна кабеля",'Сводная таблица'!$B$2,"Раздел",$F6,"Тип",BA$1,"Число и сечение жил",BA$5),"")</f>
        <v/>
      </c>
      <c r="BB6" s="297"/>
      <c r="BC6" s="297" t="str">
        <f>IFERROR(GETPIVOTDATA("Длинна кабеля",'Сводная таблица'!$B$2,"Раздел",$F6,"Тип",BC$1,"Число и сечение жил",BC$5),"")</f>
        <v/>
      </c>
      <c r="BD6" s="297"/>
      <c r="BE6" s="297" t="str">
        <f>IFERROR(GETPIVOTDATA("Длинна кабеля",'Сводная таблица'!$B$2,"Раздел",$F6,"Тип",BE$1,"Число и сечение жил",BE$5),"")</f>
        <v/>
      </c>
      <c r="BF6" s="297"/>
      <c r="BG6" s="297" t="str">
        <f>IFERROR(GETPIVOTDATA("Длинна кабеля",'Сводная таблица'!$B$2,"Раздел",$F6,"Тип",BG$1,"Число и сечение жил",BG$5),"")</f>
        <v/>
      </c>
      <c r="BH6" s="297"/>
      <c r="BI6" s="297" t="str">
        <f>IFERROR(GETPIVOTDATA("Длинна кабеля",'Сводная таблица'!$B$2,"Раздел",$F6,"Тип",BI$1,"Число и сечение жил",BI$5),"")</f>
        <v/>
      </c>
      <c r="BJ6" s="297"/>
      <c r="BK6" s="297" t="str">
        <f>IFERROR(GETPIVOTDATA("Длинна кабеля",'Сводная таблица'!$B$2,"Раздел",$F6,"Тип",BK$1,"Число и сечение жил",BK$5),"")</f>
        <v/>
      </c>
      <c r="BL6" s="297"/>
      <c r="BM6" s="318"/>
      <c r="BN6" s="318"/>
      <c r="BO6" s="318"/>
      <c r="BP6" s="318"/>
      <c r="BQ6" s="318"/>
      <c r="BR6" s="318"/>
      <c r="BS6" s="318"/>
      <c r="BT6" s="318"/>
      <c r="BU6" s="318"/>
      <c r="BV6" s="13"/>
      <c r="BW6" s="13"/>
      <c r="BX6" s="13"/>
      <c r="BY6" s="13"/>
      <c r="BZ6" s="13"/>
      <c r="CA6" s="13"/>
      <c r="CB6" s="13"/>
      <c r="CC6" s="13"/>
      <c r="CD6" s="13"/>
      <c r="CE6" s="61"/>
    </row>
    <row r="7" spans="1:83" ht="22.5" customHeight="1" x14ac:dyDescent="0.25">
      <c r="A7" s="22"/>
      <c r="B7" s="22"/>
      <c r="C7" s="22"/>
      <c r="D7" s="22"/>
      <c r="E7" s="147">
        <v>2</v>
      </c>
      <c r="F7" s="300" t="str">
        <f>Содержание!G7</f>
        <v>Установка трансформаторов собственных нужд</v>
      </c>
      <c r="G7" s="301"/>
      <c r="H7" s="301"/>
      <c r="I7" s="301"/>
      <c r="J7" s="301"/>
      <c r="K7" s="301"/>
      <c r="L7" s="301"/>
      <c r="M7" s="301"/>
      <c r="N7" s="301"/>
      <c r="O7" s="301"/>
      <c r="P7" s="301"/>
      <c r="Q7" s="301"/>
      <c r="R7" s="301"/>
      <c r="S7" s="301"/>
      <c r="T7" s="301"/>
      <c r="U7" s="301"/>
      <c r="V7" s="301"/>
      <c r="W7" s="301"/>
      <c r="X7" s="301"/>
      <c r="Y7" s="301"/>
      <c r="Z7" s="302"/>
      <c r="AA7" s="281">
        <f>IFERROR(GETPIVOTDATA("Длинна кабеля",'Сводная таблица'!$B$2,"Раздел",$F7,"Тип",AA$1,"Число и сечение жил",AA$5),"")</f>
        <v>135</v>
      </c>
      <c r="AB7" s="281"/>
      <c r="AC7" s="281" t="str">
        <f>IFERROR(GETPIVOTDATA("Длинна кабеля",'Сводная таблица'!$B$2,"Раздел",$F7,"Тип",AC$1,"Число и сечение жил",AC$5),"")</f>
        <v/>
      </c>
      <c r="AD7" s="281"/>
      <c r="AE7" s="281" t="str">
        <f>IFERROR(GETPIVOTDATA("Длинна кабеля",'Сводная таблица'!$B$2,"Раздел",$F7,"Тип",AE$1,"Число и сечение жил",AE$5),"")</f>
        <v/>
      </c>
      <c r="AF7" s="281"/>
      <c r="AG7" s="281" t="str">
        <f>IFERROR(GETPIVOTDATA("Длинна кабеля",'Сводная таблица'!$B$2,"Раздел",$F7,"Тип",AG$1,"Число и сечение жил",AG$5),"")</f>
        <v/>
      </c>
      <c r="AH7" s="281"/>
      <c r="AI7" s="281" t="str">
        <f>IFERROR(GETPIVOTDATA("Длинна кабеля",'Сводная таблица'!$B$2,"Раздел",$F7,"Тип",AI$1,"Число и сечение жил",AI$5),"")</f>
        <v/>
      </c>
      <c r="AJ7" s="281"/>
      <c r="AK7" s="281" t="str">
        <f>IFERROR(GETPIVOTDATA("Длинна кабеля",'Сводная таблица'!$B$2,"Раздел",$F7,"Тип",AK$1,"Число и сечение жил",AK$5),"")</f>
        <v/>
      </c>
      <c r="AL7" s="281"/>
      <c r="AM7" s="281">
        <f>IFERROR(GETPIVOTDATA("Длинна кабеля",'Сводная таблица'!$B$2,"Раздел",$F7,"Тип",AM$1,"Число и сечение жил",AM$5),"")</f>
        <v>145</v>
      </c>
      <c r="AN7" s="281"/>
      <c r="AO7" s="281" t="str">
        <f>IFERROR(GETPIVOTDATA("Длинна кабеля",'Сводная таблица'!$B$2,"Раздел",$F7,"Тип",AO$1,"Число и сечение жил",AO$5),"")</f>
        <v/>
      </c>
      <c r="AP7" s="281"/>
      <c r="AQ7" s="281" t="str">
        <f>IFERROR(GETPIVOTDATA("Длинна кабеля",'Сводная таблица'!$B$2,"Раздел",$F7,"Тип",AQ$1,"Число и сечение жил",AQ$5),"")</f>
        <v/>
      </c>
      <c r="AR7" s="281"/>
      <c r="AS7" s="281" t="str">
        <f>IFERROR(GETPIVOTDATA("Длинна кабеля",'Сводная таблица'!$B$2,"Раздел",$F7,"Тип",AS$1,"Число и сечение жил",AS$5),"")</f>
        <v/>
      </c>
      <c r="AT7" s="281"/>
      <c r="AU7" s="281" t="str">
        <f>IFERROR(GETPIVOTDATA("Длинна кабеля",'Сводная таблица'!$B$2,"Раздел",$F7,"Тип",AU$1,"Число и сечение жил",AU$5),"")</f>
        <v/>
      </c>
      <c r="AV7" s="281"/>
      <c r="AW7" s="281" t="str">
        <f>IFERROR(GETPIVOTDATA("Длинна кабеля",'Сводная таблица'!$B$2,"Раздел",$F7,"Тип",AW$1,"Число и сечение жил",AW$5),"")</f>
        <v/>
      </c>
      <c r="AX7" s="281"/>
      <c r="AY7" s="281" t="str">
        <f>IFERROR(GETPIVOTDATA("Длинна кабеля",'Сводная таблица'!$B$2,"Раздел",$F7,"Тип",AY$1,"Число и сечение жил",AY$5),"")</f>
        <v/>
      </c>
      <c r="AZ7" s="281"/>
      <c r="BA7" s="281">
        <f>IFERROR(GETPIVOTDATA("Длинна кабеля",'Сводная таблица'!$B$2,"Раздел",$F7,"Тип",BA$1,"Число и сечение жил",BA$5),"")</f>
        <v>145</v>
      </c>
      <c r="BB7" s="281"/>
      <c r="BC7" s="281" t="str">
        <f>IFERROR(GETPIVOTDATA("Длинна кабеля",'Сводная таблица'!$B$2,"Раздел",$F7,"Тип",BC$1,"Число и сечение жил",BC$5),"")</f>
        <v/>
      </c>
      <c r="BD7" s="281"/>
      <c r="BE7" s="281" t="str">
        <f>IFERROR(GETPIVOTDATA("Длинна кабеля",'Сводная таблица'!$B$2,"Раздел",$F7,"Тип",BE$1,"Число и сечение жил",BE$5),"")</f>
        <v/>
      </c>
      <c r="BF7" s="281"/>
      <c r="BG7" s="281" t="str">
        <f>IFERROR(GETPIVOTDATA("Длинна кабеля",'Сводная таблица'!$B$2,"Раздел",$F7,"Тип",BG$1,"Число и сечение жил",BG$5),"")</f>
        <v/>
      </c>
      <c r="BH7" s="281"/>
      <c r="BI7" s="281" t="str">
        <f>IFERROR(GETPIVOTDATA("Длинна кабеля",'Сводная таблица'!$B$2,"Раздел",$F7,"Тип",BI$1,"Число и сечение жил",BI$5),"")</f>
        <v/>
      </c>
      <c r="BJ7" s="281"/>
      <c r="BK7" s="281" t="str">
        <f>IFERROR(GETPIVOTDATA("Длинна кабеля",'Сводная таблица'!$B$2,"Раздел",$F7,"Тип",BK$1,"Число и сечение жил",BK$5),"")</f>
        <v/>
      </c>
      <c r="BL7" s="281"/>
      <c r="BM7" s="282"/>
      <c r="BN7" s="282"/>
      <c r="BO7" s="282"/>
      <c r="BP7" s="282"/>
      <c r="BQ7" s="282"/>
      <c r="BR7" s="282"/>
      <c r="BS7" s="282"/>
      <c r="BT7" s="282"/>
      <c r="BU7" s="282"/>
      <c r="BV7" s="13"/>
      <c r="BW7" s="13"/>
      <c r="BX7" s="13"/>
      <c r="BY7" s="13"/>
      <c r="BZ7" s="13"/>
      <c r="CA7" s="13"/>
      <c r="CB7" s="13"/>
      <c r="CC7" s="13"/>
      <c r="CD7" s="13"/>
      <c r="CE7" s="61"/>
    </row>
    <row r="8" spans="1:83" ht="22.5" customHeight="1" x14ac:dyDescent="0.25">
      <c r="A8" s="22"/>
      <c r="B8" s="22"/>
      <c r="C8" s="22"/>
      <c r="D8" s="22"/>
      <c r="E8" s="147">
        <v>3</v>
      </c>
      <c r="F8" s="300" t="str">
        <f>Содержание!G9</f>
        <v>ЗРУ 6 кВ</v>
      </c>
      <c r="G8" s="301"/>
      <c r="H8" s="301"/>
      <c r="I8" s="301"/>
      <c r="J8" s="301"/>
      <c r="K8" s="301"/>
      <c r="L8" s="301"/>
      <c r="M8" s="301"/>
      <c r="N8" s="301"/>
      <c r="O8" s="301"/>
      <c r="P8" s="301"/>
      <c r="Q8" s="301"/>
      <c r="R8" s="301"/>
      <c r="S8" s="301"/>
      <c r="T8" s="301"/>
      <c r="U8" s="301"/>
      <c r="V8" s="301"/>
      <c r="W8" s="301"/>
      <c r="X8" s="301"/>
      <c r="Y8" s="301"/>
      <c r="Z8" s="302"/>
      <c r="AA8" s="281" t="str">
        <f>IFERROR(GETPIVOTDATA("Длинна кабеля",'Сводная таблица'!$B$2,"Раздел",$F8,"Тип",AA$1,"Число и сечение жил",AA$5),"")</f>
        <v/>
      </c>
      <c r="AB8" s="281"/>
      <c r="AC8" s="281" t="str">
        <f>IFERROR(GETPIVOTDATA("Длинна кабеля",'Сводная таблица'!$B$2,"Раздел",$F8,"Тип",AC$1,"Число и сечение жил",AC$5),"")</f>
        <v/>
      </c>
      <c r="AD8" s="281"/>
      <c r="AE8" s="281" t="str">
        <f>IFERROR(GETPIVOTDATA("Длинна кабеля",'Сводная таблица'!$B$2,"Раздел",$F8,"Тип",AE$1,"Число и сечение жил",AE$5),"")</f>
        <v/>
      </c>
      <c r="AF8" s="281"/>
      <c r="AG8" s="281">
        <f>IFERROR(GETPIVOTDATA("Длинна кабеля",'Сводная таблица'!$B$2,"Раздел",$F8,"Тип",AG$1,"Число и сечение жил",AG$5),"")</f>
        <v>55</v>
      </c>
      <c r="AH8" s="281"/>
      <c r="AI8" s="281" t="str">
        <f>IFERROR(GETPIVOTDATA("Длинна кабеля",'Сводная таблица'!$B$2,"Раздел",$F8,"Тип",AI$1,"Число и сечение жил",AI$5),"")</f>
        <v/>
      </c>
      <c r="AJ8" s="281"/>
      <c r="AK8" s="281" t="str">
        <f>IFERROR(GETPIVOTDATA("Длинна кабеля",'Сводная таблица'!$B$2,"Раздел",$F8,"Тип",AK$1,"Число и сечение жил",AK$5),"")</f>
        <v/>
      </c>
      <c r="AL8" s="281"/>
      <c r="AM8" s="281" t="str">
        <f>IFERROR(GETPIVOTDATA("Длинна кабеля",'Сводная таблица'!$B$2,"Раздел",$F8,"Тип",AM$1,"Число и сечение жил",AM$5),"")</f>
        <v/>
      </c>
      <c r="AN8" s="281"/>
      <c r="AO8" s="281" t="str">
        <f>IFERROR(GETPIVOTDATA("Длинна кабеля",'Сводная таблица'!$B$2,"Раздел",$F8,"Тип",AO$1,"Число и сечение жил",AO$5),"")</f>
        <v/>
      </c>
      <c r="AP8" s="281"/>
      <c r="AQ8" s="281">
        <f>IFERROR(GETPIVOTDATA("Длинна кабеля",'Сводная таблица'!$B$2,"Раздел",$F8,"Тип",AQ$1,"Число и сечение жил",AQ$5),"")</f>
        <v>180</v>
      </c>
      <c r="AR8" s="281"/>
      <c r="AS8" s="281" t="str">
        <f>IFERROR(GETPIVOTDATA("Длинна кабеля",'Сводная таблица'!$B$2,"Раздел",$F8,"Тип",AS$1,"Число и сечение жил",AS$5),"")</f>
        <v/>
      </c>
      <c r="AT8" s="281"/>
      <c r="AU8" s="281" t="str">
        <f>IFERROR(GETPIVOTDATA("Длинна кабеля",'Сводная таблица'!$B$2,"Раздел",$F8,"Тип",AU$1,"Число и сечение жил",AU$5),"")</f>
        <v/>
      </c>
      <c r="AV8" s="281"/>
      <c r="AW8" s="281">
        <f>IFERROR(GETPIVOTDATA("Длинна кабеля",'Сводная таблица'!$B$2,"Раздел",$F8,"Тип",AW$1,"Число и сечение жил",AW$5),"")</f>
        <v>10</v>
      </c>
      <c r="AX8" s="281"/>
      <c r="AY8" s="281">
        <f>IFERROR(GETPIVOTDATA("Длинна кабеля",'Сводная таблица'!$B$2,"Раздел",$F8,"Тип",AY$1,"Число и сечение жил",AY$5),"")</f>
        <v>60</v>
      </c>
      <c r="AZ8" s="281"/>
      <c r="BA8" s="281" t="str">
        <f>IFERROR(GETPIVOTDATA("Длинна кабеля",'Сводная таблица'!$B$2,"Раздел",$F8,"Тип",BA$1,"Число и сечение жил",BA$5),"")</f>
        <v/>
      </c>
      <c r="BB8" s="281"/>
      <c r="BC8" s="281">
        <f>IFERROR(GETPIVOTDATA("Длинна кабеля",'Сводная таблица'!$B$2,"Раздел",$F8,"Тип",BC$1,"Число и сечение жил",BC$5),"")</f>
        <v>100</v>
      </c>
      <c r="BD8" s="281"/>
      <c r="BE8" s="281" t="str">
        <f>IFERROR(GETPIVOTDATA("Длинна кабеля",'Сводная таблица'!$B$2,"Раздел",$F8,"Тип",BE$1,"Число и сечение жил",BE$5),"")</f>
        <v/>
      </c>
      <c r="BF8" s="281"/>
      <c r="BG8" s="281">
        <f>IFERROR(GETPIVOTDATA("Длинна кабеля",'Сводная таблица'!$B$2,"Раздел",$F8,"Тип",BG$1,"Число и сечение жил",BG$5),"")</f>
        <v>60</v>
      </c>
      <c r="BH8" s="281"/>
      <c r="BI8" s="281">
        <f>IFERROR(GETPIVOTDATA("Длинна кабеля",'Сводная таблица'!$B$2,"Раздел",$F8,"Тип",BI$1,"Число и сечение жил",BI$5),"")</f>
        <v>140</v>
      </c>
      <c r="BJ8" s="281"/>
      <c r="BK8" s="281">
        <f>IFERROR(GETPIVOTDATA("Длинна кабеля",'Сводная таблица'!$B$2,"Раздел",$F8,"Тип",BK$1,"Число и сечение жил",BK$5),"")</f>
        <v>195</v>
      </c>
      <c r="BL8" s="281"/>
      <c r="BM8" s="282"/>
      <c r="BN8" s="282"/>
      <c r="BO8" s="282"/>
      <c r="BP8" s="282"/>
      <c r="BQ8" s="282"/>
      <c r="BR8" s="282"/>
      <c r="BS8" s="282"/>
      <c r="BT8" s="282"/>
      <c r="BU8" s="282"/>
      <c r="BV8" s="13"/>
      <c r="BW8" s="13"/>
      <c r="BX8" s="13"/>
      <c r="BY8" s="13"/>
      <c r="BZ8" s="13"/>
      <c r="CA8" s="13"/>
      <c r="CB8" s="13"/>
      <c r="CC8" s="13"/>
      <c r="CD8" s="13"/>
      <c r="CE8" s="61"/>
    </row>
    <row r="9" spans="1:83" ht="22.5" customHeight="1" x14ac:dyDescent="0.25">
      <c r="A9" s="22"/>
      <c r="B9" s="22"/>
      <c r="C9" s="22"/>
      <c r="D9" s="22"/>
      <c r="E9" s="147">
        <v>4</v>
      </c>
      <c r="F9" s="300" t="str">
        <f>Содержание!G11</f>
        <v>ОПУ совмещенный с КРУЭ. Освещение и штепсельная сеть</v>
      </c>
      <c r="G9" s="301"/>
      <c r="H9" s="301"/>
      <c r="I9" s="301"/>
      <c r="J9" s="301"/>
      <c r="K9" s="301"/>
      <c r="L9" s="301"/>
      <c r="M9" s="301"/>
      <c r="N9" s="301"/>
      <c r="O9" s="301"/>
      <c r="P9" s="301"/>
      <c r="Q9" s="301"/>
      <c r="R9" s="301"/>
      <c r="S9" s="301"/>
      <c r="T9" s="301"/>
      <c r="U9" s="301"/>
      <c r="V9" s="301"/>
      <c r="W9" s="301"/>
      <c r="X9" s="301"/>
      <c r="Y9" s="301"/>
      <c r="Z9" s="302"/>
      <c r="AA9" s="281" t="str">
        <f>IFERROR(GETPIVOTDATA("Длинна кабеля",'Сводная таблица'!$B$2,"Раздел",$F9,"Тип",AA$1,"Число и сечение жил",AA$5),"")</f>
        <v/>
      </c>
      <c r="AB9" s="281"/>
      <c r="AC9" s="281" t="str">
        <f>IFERROR(GETPIVOTDATA("Длинна кабеля",'Сводная таблица'!$B$2,"Раздел",$F9,"Тип",AC$1,"Число и сечение жил",AC$5),"")</f>
        <v/>
      </c>
      <c r="AD9" s="281"/>
      <c r="AE9" s="281" t="str">
        <f>IFERROR(GETPIVOTDATA("Длинна кабеля",'Сводная таблица'!$B$2,"Раздел",$F9,"Тип",AE$1,"Число и сечение жил",AE$5),"")</f>
        <v/>
      </c>
      <c r="AF9" s="281"/>
      <c r="AG9" s="281">
        <f>IFERROR(GETPIVOTDATA("Длинна кабеля",'Сводная таблица'!$B$2,"Раздел",$F9,"Тип",AG$1,"Число и сечение жил",AG$5),"")</f>
        <v>480</v>
      </c>
      <c r="AH9" s="281"/>
      <c r="AI9" s="281">
        <f>IFERROR(GETPIVOTDATA("Длинна кабеля",'Сводная таблица'!$B$2,"Раздел",$F9,"Тип",AI$1,"Число и сечение жил",AI$5),"")</f>
        <v>70</v>
      </c>
      <c r="AJ9" s="281"/>
      <c r="AK9" s="281" t="str">
        <f>IFERROR(GETPIVOTDATA("Длинна кабеля",'Сводная таблица'!$B$2,"Раздел",$F9,"Тип",AK$1,"Число и сечение жил",AK$5),"")</f>
        <v/>
      </c>
      <c r="AL9" s="281"/>
      <c r="AM9" s="281" t="str">
        <f>IFERROR(GETPIVOTDATA("Длинна кабеля",'Сводная таблица'!$B$2,"Раздел",$F9,"Тип",AM$1,"Число и сечение жил",AM$5),"")</f>
        <v/>
      </c>
      <c r="AN9" s="281"/>
      <c r="AO9" s="281" t="str">
        <f>IFERROR(GETPIVOTDATA("Длинна кабеля",'Сводная таблица'!$B$2,"Раздел",$F9,"Тип",AO$1,"Число и сечение жил",AO$5),"")</f>
        <v/>
      </c>
      <c r="AP9" s="281"/>
      <c r="AQ9" s="281" t="str">
        <f>IFERROR(GETPIVOTDATA("Длинна кабеля",'Сводная таблица'!$B$2,"Раздел",$F9,"Тип",AQ$1,"Число и сечение жил",AQ$5),"")</f>
        <v/>
      </c>
      <c r="AR9" s="281"/>
      <c r="AS9" s="281">
        <f>IFERROR(GETPIVOTDATA("Длинна кабеля",'Сводная таблица'!$B$2,"Раздел",$F9,"Тип",AS$1,"Число и сечение жил",AS$5),"")</f>
        <v>84</v>
      </c>
      <c r="AT9" s="281"/>
      <c r="AU9" s="281" t="str">
        <f>IFERROR(GETPIVOTDATA("Длинна кабеля",'Сводная таблица'!$B$2,"Раздел",$F9,"Тип",AU$1,"Число и сечение жил",AU$5),"")</f>
        <v/>
      </c>
      <c r="AV9" s="281"/>
      <c r="AW9" s="281" t="str">
        <f>IFERROR(GETPIVOTDATA("Длинна кабеля",'Сводная таблица'!$B$2,"Раздел",$F9,"Тип",AW$1,"Число и сечение жил",AW$5),"")</f>
        <v/>
      </c>
      <c r="AX9" s="281"/>
      <c r="AY9" s="281">
        <f>IFERROR(GETPIVOTDATA("Длинна кабеля",'Сводная таблица'!$B$2,"Раздел",$F9,"Тип",AY$1,"Число и сечение жил",AY$5),"")</f>
        <v>170</v>
      </c>
      <c r="AZ9" s="281"/>
      <c r="BA9" s="281" t="str">
        <f>IFERROR(GETPIVOTDATA("Длинна кабеля",'Сводная таблица'!$B$2,"Раздел",$F9,"Тип",BA$1,"Число и сечение жил",BA$5),"")</f>
        <v/>
      </c>
      <c r="BB9" s="281"/>
      <c r="BC9" s="281" t="str">
        <f>IFERROR(GETPIVOTDATA("Длинна кабеля",'Сводная таблица'!$B$2,"Раздел",$F9,"Тип",BC$1,"Число и сечение жил",BC$5),"")</f>
        <v/>
      </c>
      <c r="BD9" s="281"/>
      <c r="BE9" s="281" t="str">
        <f>IFERROR(GETPIVOTDATA("Длинна кабеля",'Сводная таблица'!$B$2,"Раздел",$F9,"Тип",BE$1,"Число и сечение жил",BE$5),"")</f>
        <v/>
      </c>
      <c r="BF9" s="281"/>
      <c r="BG9" s="281" t="str">
        <f>IFERROR(GETPIVOTDATA("Длинна кабеля",'Сводная таблица'!$B$2,"Раздел",$F9,"Тип",BG$1,"Число и сечение жил",BG$5),"")</f>
        <v/>
      </c>
      <c r="BH9" s="281"/>
      <c r="BI9" s="281">
        <f>IFERROR(GETPIVOTDATA("Длинна кабеля",'Сводная таблица'!$B$2,"Раздел",$F9,"Тип",BI$1,"Число и сечение жил",BI$5),"")</f>
        <v>259</v>
      </c>
      <c r="BJ9" s="281"/>
      <c r="BK9" s="281">
        <f>IFERROR(GETPIVOTDATA("Длинна кабеля",'Сводная таблица'!$B$2,"Раздел",$F9,"Тип",BK$1,"Число и сечение жил",BK$5),"")</f>
        <v>658</v>
      </c>
      <c r="BL9" s="281"/>
      <c r="BM9" s="282"/>
      <c r="BN9" s="282"/>
      <c r="BO9" s="282"/>
      <c r="BP9" s="282"/>
      <c r="BQ9" s="282"/>
      <c r="BR9" s="282"/>
      <c r="BS9" s="282"/>
      <c r="BT9" s="282"/>
      <c r="BU9" s="282"/>
      <c r="BV9" s="13"/>
      <c r="BW9" s="13"/>
      <c r="BX9" s="13"/>
      <c r="BY9" s="13"/>
      <c r="BZ9" s="13"/>
      <c r="CA9" s="13"/>
      <c r="CB9" s="13"/>
      <c r="CC9" s="13"/>
      <c r="CD9" s="13"/>
      <c r="CE9" s="61"/>
    </row>
    <row r="10" spans="1:83" ht="22.5" customHeight="1" x14ac:dyDescent="0.25">
      <c r="A10" s="22"/>
      <c r="B10" s="22"/>
      <c r="C10" s="22"/>
      <c r="D10" s="22"/>
      <c r="E10" s="147">
        <v>5</v>
      </c>
      <c r="F10" s="300" t="str">
        <f>Содержание!G13</f>
        <v>ОПУ совмещенный с КРУЭ. Силовая сеть</v>
      </c>
      <c r="G10" s="301"/>
      <c r="H10" s="301"/>
      <c r="I10" s="301"/>
      <c r="J10" s="301"/>
      <c r="K10" s="301"/>
      <c r="L10" s="301"/>
      <c r="M10" s="301"/>
      <c r="N10" s="301"/>
      <c r="O10" s="301"/>
      <c r="P10" s="301"/>
      <c r="Q10" s="301"/>
      <c r="R10" s="301"/>
      <c r="S10" s="301"/>
      <c r="T10" s="301"/>
      <c r="U10" s="301"/>
      <c r="V10" s="301"/>
      <c r="W10" s="301"/>
      <c r="X10" s="301"/>
      <c r="Y10" s="301"/>
      <c r="Z10" s="302"/>
      <c r="AA10" s="281" t="str">
        <f>IFERROR(GETPIVOTDATA("Длинна кабеля",'Сводная таблица'!$B$2,"Раздел",$F10,"Тип",AA$1,"Число и сечение жил",AA$5),"")</f>
        <v/>
      </c>
      <c r="AB10" s="281"/>
      <c r="AC10" s="281" t="str">
        <f>IFERROR(GETPIVOTDATA("Длинна кабеля",'Сводная таблица'!$B$2,"Раздел",$F10,"Тип",AC$1,"Число и сечение жил",AC$5),"")</f>
        <v/>
      </c>
      <c r="AD10" s="281"/>
      <c r="AE10" s="281" t="str">
        <f>IFERROR(GETPIVOTDATA("Длинна кабеля",'Сводная таблица'!$B$2,"Раздел",$F10,"Тип",AE$1,"Число и сечение жил",AE$5),"")</f>
        <v/>
      </c>
      <c r="AF10" s="281"/>
      <c r="AG10" s="281" t="str">
        <f>IFERROR(GETPIVOTDATA("Длинна кабеля",'Сводная таблица'!$B$2,"Раздел",$F10,"Тип",AG$1,"Число и сечение жил",AG$5),"")</f>
        <v/>
      </c>
      <c r="AH10" s="281"/>
      <c r="AI10" s="281">
        <f>IFERROR(GETPIVOTDATA("Длинна кабеля",'Сводная таблица'!$B$2,"Раздел",$F10,"Тип",AI$1,"Число и сечение жил",AI$5),"")</f>
        <v>27</v>
      </c>
      <c r="AJ10" s="281"/>
      <c r="AK10" s="281">
        <f>IFERROR(GETPIVOTDATA("Длинна кабеля",'Сводная таблица'!$B$2,"Раздел",$F10,"Тип",AK$1,"Число и сечение жил",AK$5),"")</f>
        <v>92</v>
      </c>
      <c r="AL10" s="281"/>
      <c r="AM10" s="281" t="str">
        <f>IFERROR(GETPIVOTDATA("Длинна кабеля",'Сводная таблица'!$B$2,"Раздел",$F10,"Тип",AM$1,"Число и сечение жил",AM$5),"")</f>
        <v/>
      </c>
      <c r="AN10" s="281"/>
      <c r="AO10" s="299">
        <f>IFERROR(GETPIVOTDATA("Длинна кабеля",'Сводная таблица'!$B$2,"Раздел",$F10,"Тип",AO$1,"Число и сечение жил",AO$5),"")</f>
        <v>191</v>
      </c>
      <c r="AP10" s="299"/>
      <c r="AQ10" s="299">
        <f>IFERROR(GETPIVOTDATA("Длинна кабеля",'Сводная таблица'!$B$2,"Раздел",$F10,"Тип",AQ$1,"Число и сечение жил",AQ$5),"")</f>
        <v>626</v>
      </c>
      <c r="AR10" s="299"/>
      <c r="AS10" s="299">
        <f>IFERROR(GETPIVOTDATA("Длинна кабеля",'Сводная таблица'!$B$2,"Раздел",$F10,"Тип",AS$1,"Число и сечение жил",AS$5),"")</f>
        <v>1020</v>
      </c>
      <c r="AT10" s="299"/>
      <c r="AU10" s="299" t="str">
        <f>IFERROR(GETPIVOTDATA("Длинна кабеля",'Сводная таблица'!$B$2,"Раздел",$F10,"Тип",AU$1,"Число и сечение жил",AU$5),"")</f>
        <v/>
      </c>
      <c r="AV10" s="299"/>
      <c r="AW10" s="299">
        <f>IFERROR(GETPIVOTDATA("Длинна кабеля",'Сводная таблица'!$B$2,"Раздел",$F10,"Тип",AW$1,"Число и сечение жил",AW$5),"")</f>
        <v>176</v>
      </c>
      <c r="AX10" s="299"/>
      <c r="AY10" s="299" t="str">
        <f>IFERROR(GETPIVOTDATA("Длинна кабеля",'Сводная таблица'!$B$2,"Раздел",$F10,"Тип",AY$1,"Число и сечение жил",AY$5),"")</f>
        <v/>
      </c>
      <c r="AZ10" s="299"/>
      <c r="BA10" s="299" t="str">
        <f>IFERROR(GETPIVOTDATA("Длинна кабеля",'Сводная таблица'!$B$2,"Раздел",$F10,"Тип",BA$1,"Число и сечение жил",BA$5),"")</f>
        <v/>
      </c>
      <c r="BB10" s="299"/>
      <c r="BC10" s="299">
        <f>IFERROR(GETPIVOTDATA("Длинна кабеля",'Сводная таблица'!$B$2,"Раздел",$F10,"Тип",BC$1,"Число и сечение жил",BC$5),"")</f>
        <v>72</v>
      </c>
      <c r="BD10" s="299"/>
      <c r="BE10" s="299">
        <f>IFERROR(GETPIVOTDATA("Длинна кабеля",'Сводная таблица'!$B$2,"Раздел",$F10,"Тип",BE$1,"Число и сечение жил",BE$5),"")</f>
        <v>140</v>
      </c>
      <c r="BF10" s="299"/>
      <c r="BG10" s="299" t="str">
        <f>IFERROR(GETPIVOTDATA("Длинна кабеля",'Сводная таблица'!$B$2,"Раздел",$F10,"Тип",BG$1,"Число и сечение жил",BG$5),"")</f>
        <v/>
      </c>
      <c r="BH10" s="299"/>
      <c r="BI10" s="299">
        <f>IFERROR(GETPIVOTDATA("Длинна кабеля",'Сводная таблица'!$B$2,"Раздел",$F10,"Тип",BI$1,"Число и сечение жил",BI$5),"")</f>
        <v>417</v>
      </c>
      <c r="BJ10" s="299"/>
      <c r="BK10" s="299" t="str">
        <f>IFERROR(GETPIVOTDATA("Длинна кабеля",'Сводная таблица'!$B$2,"Раздел",$F10,"Тип",BK$1,"Число и сечение жил",BK$5),"")</f>
        <v/>
      </c>
      <c r="BL10" s="299"/>
      <c r="BM10" s="282"/>
      <c r="BN10" s="282"/>
      <c r="BO10" s="282"/>
      <c r="BP10" s="282"/>
      <c r="BQ10" s="282"/>
      <c r="BR10" s="282"/>
      <c r="BS10" s="282"/>
      <c r="BT10" s="282"/>
      <c r="BU10" s="282"/>
      <c r="BV10" s="13"/>
      <c r="BW10" s="13"/>
      <c r="BX10" s="13"/>
      <c r="BY10" s="13"/>
      <c r="BZ10" s="13"/>
      <c r="CA10" s="13"/>
      <c r="CB10" s="13"/>
      <c r="CC10" s="13"/>
      <c r="CD10" s="13"/>
      <c r="CE10" s="61"/>
    </row>
    <row r="11" spans="1:83" ht="22.5" customHeight="1" x14ac:dyDescent="0.25">
      <c r="A11" s="22"/>
      <c r="B11" s="22"/>
      <c r="C11" s="22"/>
      <c r="D11" s="22"/>
      <c r="E11" s="147">
        <v>6</v>
      </c>
      <c r="F11" s="305" t="str">
        <f>Содержание!G15</f>
        <v>ОПУ совмещенный с КРУЭ. Крановое оборудование</v>
      </c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7"/>
      <c r="AA11" s="281" t="str">
        <f>IFERROR(GETPIVOTDATA("Длинна кабеля",'Сводная таблица'!$B$2,"Раздел",$F11,"Тип",AA$1,"Число и сечение жил",AA$5),"")</f>
        <v/>
      </c>
      <c r="AB11" s="281"/>
      <c r="AC11" s="281" t="str">
        <f>IFERROR(GETPIVOTDATA("Длинна кабеля",'Сводная таблица'!$B$2,"Раздел",$F11,"Тип",AC$1,"Число и сечение жил",AC$5),"")</f>
        <v/>
      </c>
      <c r="AD11" s="281"/>
      <c r="AE11" s="281" t="str">
        <f>IFERROR(GETPIVOTDATA("Длинна кабеля",'Сводная таблица'!$B$2,"Раздел",$F11,"Тип",AE$1,"Число и сечение жил",AE$5),"")</f>
        <v/>
      </c>
      <c r="AF11" s="281"/>
      <c r="AG11" s="281" t="str">
        <f>IFERROR(GETPIVOTDATA("Длинна кабеля",'Сводная таблица'!$B$2,"Раздел",$F11,"Тип",AG$1,"Число и сечение жил",AG$5),"")</f>
        <v/>
      </c>
      <c r="AH11" s="281"/>
      <c r="AI11" s="281" t="str">
        <f>IFERROR(GETPIVOTDATA("Длинна кабеля",'Сводная таблица'!$B$2,"Раздел",$F11,"Тип",AI$1,"Число и сечение жил",AI$5),"")</f>
        <v/>
      </c>
      <c r="AJ11" s="281"/>
      <c r="AK11" s="281" t="str">
        <f>IFERROR(GETPIVOTDATA("Длинна кабеля",'Сводная таблица'!$B$2,"Раздел",$F11,"Тип",AK$1,"Число и сечение жил",AK$5),"")</f>
        <v/>
      </c>
      <c r="AL11" s="281"/>
      <c r="AM11" s="281" t="str">
        <f>IFERROR(GETPIVOTDATA("Длинна кабеля",'Сводная таблица'!$B$2,"Раздел",$F11,"Тип",AM$1,"Число и сечение жил",AM$5),"")</f>
        <v/>
      </c>
      <c r="AN11" s="281"/>
      <c r="AO11" s="299" t="str">
        <f>IFERROR(GETPIVOTDATA("Длинна кабеля",'Сводная таблица'!$B$2,"Раздел",$F11,"Тип",AO$1,"Число и сечение жил",AO$5),"")</f>
        <v/>
      </c>
      <c r="AP11" s="299"/>
      <c r="AQ11" s="299" t="str">
        <f>IFERROR(GETPIVOTDATA("Длинна кабеля",'Сводная таблица'!$B$2,"Раздел",$F11,"Тип",AQ$1,"Число и сечение жил",AQ$5),"")</f>
        <v/>
      </c>
      <c r="AR11" s="299"/>
      <c r="AS11" s="299">
        <f>IFERROR(GETPIVOTDATA("Длинна кабеля",'Сводная таблица'!$B$2,"Раздел",$F11,"Тип",AS$1,"Число и сечение жил",AS$5),"")</f>
        <v>30</v>
      </c>
      <c r="AT11" s="299"/>
      <c r="AU11" s="299" t="str">
        <f>IFERROR(GETPIVOTDATA("Длинна кабеля",'Сводная таблица'!$B$2,"Раздел",$F11,"Тип",AU$1,"Число и сечение жил",AU$5),"")</f>
        <v/>
      </c>
      <c r="AV11" s="299"/>
      <c r="AW11" s="299" t="str">
        <f>IFERROR(GETPIVOTDATA("Длинна кабеля",'Сводная таблица'!$B$2,"Раздел",$F11,"Тип",AW$1,"Число и сечение жил",AW$5),"")</f>
        <v/>
      </c>
      <c r="AX11" s="299"/>
      <c r="AY11" s="299" t="str">
        <f>IFERROR(GETPIVOTDATA("Длинна кабеля",'Сводная таблица'!$B$2,"Раздел",$F11,"Тип",AY$1,"Число и сечение жил",AY$5),"")</f>
        <v/>
      </c>
      <c r="AZ11" s="299"/>
      <c r="BA11" s="299" t="str">
        <f>IFERROR(GETPIVOTDATA("Длинна кабеля",'Сводная таблица'!$B$2,"Раздел",$F11,"Тип",BA$1,"Число и сечение жил",BA$5),"")</f>
        <v/>
      </c>
      <c r="BB11" s="299"/>
      <c r="BC11" s="299" t="str">
        <f>IFERROR(GETPIVOTDATA("Длинна кабеля",'Сводная таблица'!$B$2,"Раздел",$F11,"Тип",BC$1,"Число и сечение жил",BC$5),"")</f>
        <v/>
      </c>
      <c r="BD11" s="299"/>
      <c r="BE11" s="299" t="str">
        <f>IFERROR(GETPIVOTDATA("Длинна кабеля",'Сводная таблица'!$B$2,"Раздел",$F11,"Тип",BE$1,"Число и сечение жил",BE$5),"")</f>
        <v/>
      </c>
      <c r="BF11" s="299"/>
      <c r="BG11" s="299" t="str">
        <f>IFERROR(GETPIVOTDATA("Длинна кабеля",'Сводная таблица'!$B$2,"Раздел",$F11,"Тип",BG$1,"Число и сечение жил",BG$5),"")</f>
        <v/>
      </c>
      <c r="BH11" s="299"/>
      <c r="BI11" s="299" t="str">
        <f>IFERROR(GETPIVOTDATA("Длинна кабеля",'Сводная таблица'!$B$2,"Раздел",$F11,"Тип",BI$1,"Число и сечение жил",BI$5),"")</f>
        <v/>
      </c>
      <c r="BJ11" s="299"/>
      <c r="BK11" s="299" t="str">
        <f>IFERROR(GETPIVOTDATA("Длинна кабеля",'Сводная таблица'!$B$2,"Раздел",$F11,"Тип",BK$1,"Число и сечение жил",BK$5),"")</f>
        <v/>
      </c>
      <c r="BL11" s="299"/>
      <c r="BM11" s="282"/>
      <c r="BN11" s="282"/>
      <c r="BO11" s="282"/>
      <c r="BP11" s="282"/>
      <c r="BQ11" s="282"/>
      <c r="BR11" s="282"/>
      <c r="BS11" s="282"/>
      <c r="BT11" s="282"/>
      <c r="BU11" s="282"/>
      <c r="BV11" s="13"/>
      <c r="BW11" s="13"/>
      <c r="BX11" s="13"/>
      <c r="BY11" s="13"/>
      <c r="BZ11" s="13"/>
      <c r="CA11" s="13"/>
      <c r="CB11" s="13"/>
      <c r="CC11" s="13"/>
      <c r="CD11" s="13"/>
      <c r="CE11" s="61"/>
    </row>
    <row r="12" spans="1:83" ht="22.5" customHeight="1" x14ac:dyDescent="0.25">
      <c r="A12" s="22"/>
      <c r="B12" s="22"/>
      <c r="C12" s="22"/>
      <c r="D12" s="22"/>
      <c r="E12" s="147">
        <v>7</v>
      </c>
      <c r="F12" s="300" t="str">
        <f>Содержание!G17</f>
        <v>ОПУ совмещенный с КРУЭ. Обогрев кровли</v>
      </c>
      <c r="G12" s="301"/>
      <c r="H12" s="301"/>
      <c r="I12" s="301"/>
      <c r="J12" s="301"/>
      <c r="K12" s="301"/>
      <c r="L12" s="301"/>
      <c r="M12" s="301"/>
      <c r="N12" s="301"/>
      <c r="O12" s="301"/>
      <c r="P12" s="301"/>
      <c r="Q12" s="301"/>
      <c r="R12" s="301"/>
      <c r="S12" s="301"/>
      <c r="T12" s="301"/>
      <c r="U12" s="301"/>
      <c r="V12" s="301"/>
      <c r="W12" s="301"/>
      <c r="X12" s="301"/>
      <c r="Y12" s="301"/>
      <c r="Z12" s="302"/>
      <c r="AA12" s="281" t="str">
        <f>IFERROR(GETPIVOTDATA("Длинна кабеля",'Сводная таблица'!$B$2,"Раздел",$F12,"Тип",AA$1,"Число и сечение жил",AA$5),"")</f>
        <v/>
      </c>
      <c r="AB12" s="281"/>
      <c r="AC12" s="281" t="str">
        <f>IFERROR(GETPIVOTDATA("Длинна кабеля",'Сводная таблица'!$B$2,"Раздел",$F12,"Тип",AC$1,"Число и сечение жил",AC$5),"")</f>
        <v/>
      </c>
      <c r="AD12" s="281"/>
      <c r="AE12" s="281" t="str">
        <f>IFERROR(GETPIVOTDATA("Длинна кабеля",'Сводная таблица'!$B$2,"Раздел",$F12,"Тип",AE$1,"Число и сечение жил",AE$5),"")</f>
        <v/>
      </c>
      <c r="AF12" s="281"/>
      <c r="AG12" s="281" t="str">
        <f>IFERROR(GETPIVOTDATA("Длинна кабеля",'Сводная таблица'!$B$2,"Раздел",$F12,"Тип",AG$1,"Число и сечение жил",AG$5),"")</f>
        <v/>
      </c>
      <c r="AH12" s="281"/>
      <c r="AI12" s="281" t="str">
        <f>IFERROR(GETPIVOTDATA("Длинна кабеля",'Сводная таблица'!$B$2,"Раздел",$F12,"Тип",AI$1,"Число и сечение жил",AI$5),"")</f>
        <v/>
      </c>
      <c r="AJ12" s="281"/>
      <c r="AK12" s="281" t="str">
        <f>IFERROR(GETPIVOTDATA("Длинна кабеля",'Сводная таблица'!$B$2,"Раздел",$F12,"Тип",AK$1,"Число и сечение жил",AK$5),"")</f>
        <v/>
      </c>
      <c r="AL12" s="281"/>
      <c r="AM12" s="281" t="str">
        <f>IFERROR(GETPIVOTDATA("Длинна кабеля",'Сводная таблица'!$B$2,"Раздел",$F12,"Тип",AM$1,"Число и сечение жил",AM$5),"")</f>
        <v/>
      </c>
      <c r="AN12" s="281"/>
      <c r="AO12" s="281" t="str">
        <f>IFERROR(GETPIVOTDATA("Длинна кабеля",'Сводная таблица'!$B$2,"Раздел",$F12,"Тип",AO$1,"Число и сечение жил",AO$5),"")</f>
        <v/>
      </c>
      <c r="AP12" s="281"/>
      <c r="AQ12" s="281">
        <f>IFERROR(GETPIVOTDATA("Длинна кабеля",'Сводная таблица'!$B$2,"Раздел",$F12,"Тип",AQ$1,"Число и сечение жил",AQ$5),"")</f>
        <v>20</v>
      </c>
      <c r="AR12" s="281"/>
      <c r="AS12" s="281" t="str">
        <f>IFERROR(GETPIVOTDATA("Длинна кабеля",'Сводная таблица'!$B$2,"Раздел",$F12,"Тип",AS$1,"Число и сечение жил",AS$5),"")</f>
        <v/>
      </c>
      <c r="AT12" s="281"/>
      <c r="AU12" s="281" t="str">
        <f>IFERROR(GETPIVOTDATA("Длинна кабеля",'Сводная таблица'!$B$2,"Раздел",$F12,"Тип",AU$1,"Число и сечение жил",AU$5),"")</f>
        <v/>
      </c>
      <c r="AV12" s="281"/>
      <c r="AW12" s="281">
        <f>IFERROR(GETPIVOTDATA("Длинна кабеля",'Сводная таблица'!$B$2,"Раздел",$F12,"Тип",AW$1,"Число и сечение жил",AW$5),"")</f>
        <v>62</v>
      </c>
      <c r="AX12" s="281"/>
      <c r="AY12" s="281" t="str">
        <f>IFERROR(GETPIVOTDATA("Длинна кабеля",'Сводная таблица'!$B$2,"Раздел",$F12,"Тип",AY$1,"Число и сечение жил",AY$5),"")</f>
        <v/>
      </c>
      <c r="AZ12" s="281"/>
      <c r="BA12" s="281" t="str">
        <f>IFERROR(GETPIVOTDATA("Длинна кабеля",'Сводная таблица'!$B$2,"Раздел",$F12,"Тип",BA$1,"Число и сечение жил",BA$5),"")</f>
        <v/>
      </c>
      <c r="BB12" s="281"/>
      <c r="BC12" s="281" t="str">
        <f>IFERROR(GETPIVOTDATA("Длинна кабеля",'Сводная таблица'!$B$2,"Раздел",$F12,"Тип",BC$1,"Число и сечение жил",BC$5),"")</f>
        <v/>
      </c>
      <c r="BD12" s="281"/>
      <c r="BE12" s="281" t="str">
        <f>IFERROR(GETPIVOTDATA("Длинна кабеля",'Сводная таблица'!$B$2,"Раздел",$F12,"Тип",BE$1,"Число и сечение жил",BE$5),"")</f>
        <v/>
      </c>
      <c r="BF12" s="281"/>
      <c r="BG12" s="281" t="str">
        <f>IFERROR(GETPIVOTDATA("Длинна кабеля",'Сводная таблица'!$B$2,"Раздел",$F12,"Тип",BG$1,"Число и сечение жил",BG$5),"")</f>
        <v/>
      </c>
      <c r="BH12" s="281"/>
      <c r="BI12" s="281" t="str">
        <f>IFERROR(GETPIVOTDATA("Длинна кабеля",'Сводная таблица'!$B$2,"Раздел",$F12,"Тип",BI$1,"Число и сечение жил",BI$5),"")</f>
        <v/>
      </c>
      <c r="BJ12" s="281"/>
      <c r="BK12" s="281" t="str">
        <f>IFERROR(GETPIVOTDATA("Длинна кабеля",'Сводная таблица'!$B$2,"Раздел",$F12,"Тип",BK$1,"Число и сечение жил",BK$5),"")</f>
        <v/>
      </c>
      <c r="BL12" s="281"/>
      <c r="BM12" s="282"/>
      <c r="BN12" s="282"/>
      <c r="BO12" s="282"/>
      <c r="BP12" s="282"/>
      <c r="BQ12" s="282"/>
      <c r="BR12" s="282"/>
      <c r="BS12" s="282"/>
      <c r="BT12" s="282"/>
      <c r="BU12" s="282"/>
      <c r="BV12" s="13"/>
      <c r="BW12" s="13"/>
      <c r="BX12" s="13"/>
      <c r="BY12" s="13"/>
      <c r="BZ12" s="13"/>
      <c r="CA12" s="13"/>
      <c r="CB12" s="13"/>
      <c r="CC12" s="13"/>
      <c r="CD12" s="13"/>
      <c r="CE12" s="61"/>
    </row>
    <row r="13" spans="1:83" ht="22.5" customHeight="1" x14ac:dyDescent="0.25">
      <c r="E13" s="147">
        <v>8</v>
      </c>
      <c r="F13" s="300" t="str">
        <f>Содержание!G19</f>
        <v>Установка дугогасящих реакторов.</v>
      </c>
      <c r="G13" s="301"/>
      <c r="H13" s="301"/>
      <c r="I13" s="301"/>
      <c r="J13" s="301"/>
      <c r="K13" s="301"/>
      <c r="L13" s="301"/>
      <c r="M13" s="301"/>
      <c r="N13" s="301"/>
      <c r="O13" s="301"/>
      <c r="P13" s="301"/>
      <c r="Q13" s="301"/>
      <c r="R13" s="301"/>
      <c r="S13" s="301"/>
      <c r="T13" s="301"/>
      <c r="U13" s="301"/>
      <c r="V13" s="301"/>
      <c r="W13" s="301"/>
      <c r="X13" s="301"/>
      <c r="Y13" s="301"/>
      <c r="Z13" s="302"/>
      <c r="AA13" s="303">
        <f>IFERROR(GETPIVOTDATA("Длинна кабеля",'Сводная таблица'!$B$2,"Раздел",$F13,"Тип",AA$1,"Число и сечение жил",AA$5),"")</f>
        <v>95</v>
      </c>
      <c r="AB13" s="304"/>
      <c r="AC13" s="303" t="str">
        <f>IFERROR(GETPIVOTDATA("Длинна кабеля",'Сводная таблица'!$B$2,"Раздел",$F13,"Тип",AC$1,"Число и сечение жил",AC$5),"")</f>
        <v/>
      </c>
      <c r="AD13" s="304"/>
      <c r="AE13" s="303" t="str">
        <f>IFERROR(GETPIVOTDATA("Длинна кабеля",'Сводная таблица'!$B$2,"Раздел",$F13,"Тип",AE$1,"Число и сечение жил",AE$5),"")</f>
        <v/>
      </c>
      <c r="AF13" s="304"/>
      <c r="AG13" s="303" t="str">
        <f>IFERROR(GETPIVOTDATA("Длинна кабеля",'Сводная таблица'!$B$2,"Раздел",$F13,"Тип",AG$1,"Число и сечение жил",AG$5),"")</f>
        <v/>
      </c>
      <c r="AH13" s="304"/>
      <c r="AI13" s="303" t="str">
        <f>IFERROR(GETPIVOTDATA("Длинна кабеля",'Сводная таблица'!$B$2,"Раздел",$F13,"Тип",AI$1,"Число и сечение жил",AI$5),"")</f>
        <v/>
      </c>
      <c r="AJ13" s="304"/>
      <c r="AK13" s="303" t="str">
        <f>IFERROR(GETPIVOTDATA("Длинна кабеля",'Сводная таблица'!$B$2,"Раздел",$F13,"Тип",AK$1,"Число и сечение жил",AK$5),"")</f>
        <v/>
      </c>
      <c r="AL13" s="304"/>
      <c r="AM13" s="303" t="str">
        <f>IFERROR(GETPIVOTDATA("Длинна кабеля",'Сводная таблица'!$B$2,"Раздел",$F13,"Тип",AM$1,"Число и сечение жил",AM$5),"")</f>
        <v/>
      </c>
      <c r="AN13" s="304"/>
      <c r="AO13" s="303" t="str">
        <f>IFERROR(GETPIVOTDATA("Длинна кабеля",'Сводная таблица'!$B$2,"Раздел",$F13,"Тип",AO$1,"Число и сечение жил",AO$5),"")</f>
        <v/>
      </c>
      <c r="AP13" s="304"/>
      <c r="AQ13" s="303" t="str">
        <f>IFERROR(GETPIVOTDATA("Длинна кабеля",'Сводная таблица'!$B$2,"Раздел",$F13,"Тип",AQ$1,"Число и сечение жил",AQ$5),"")</f>
        <v/>
      </c>
      <c r="AR13" s="304"/>
      <c r="AS13" s="303" t="str">
        <f>IFERROR(GETPIVOTDATA("Длинна кабеля",'Сводная таблица'!$B$2,"Раздел",$F13,"Тип",AS$1,"Число и сечение жил",AS$5),"")</f>
        <v/>
      </c>
      <c r="AT13" s="304"/>
      <c r="AU13" s="303" t="str">
        <f>IFERROR(GETPIVOTDATA("Длинна кабеля",'Сводная таблица'!$B$2,"Раздел",$F13,"Тип",AU$1,"Число и сечение жил",AU$5),"")</f>
        <v/>
      </c>
      <c r="AV13" s="304"/>
      <c r="AW13" s="303" t="str">
        <f>IFERROR(GETPIVOTDATA("Длинна кабеля",'Сводная таблица'!$B$2,"Раздел",$F13,"Тип",AW$1,"Число и сечение жил",AW$5),"")</f>
        <v/>
      </c>
      <c r="AX13" s="304"/>
      <c r="AY13" s="303" t="str">
        <f>IFERROR(GETPIVOTDATA("Длинна кабеля",'Сводная таблица'!$B$2,"Раздел",$F13,"Тип",AY$1,"Число и сечение жил",AY$5),"")</f>
        <v/>
      </c>
      <c r="AZ13" s="304"/>
      <c r="BA13" s="303" t="str">
        <f>IFERROR(GETPIVOTDATA("Длинна кабеля",'Сводная таблица'!$B$2,"Раздел",$F13,"Тип",BA$1,"Число и сечение жил",BA$5),"")</f>
        <v/>
      </c>
      <c r="BB13" s="304"/>
      <c r="BC13" s="303" t="str">
        <f>IFERROR(GETPIVOTDATA("Длинна кабеля",'Сводная таблица'!$B$2,"Раздел",$F13,"Тип",BC$1,"Число и сечение жил",BC$5),"")</f>
        <v/>
      </c>
      <c r="BD13" s="304"/>
      <c r="BE13" s="303" t="str">
        <f>IFERROR(GETPIVOTDATA("Длинна кабеля",'Сводная таблица'!$B$2,"Раздел",$F13,"Тип",BE$1,"Число и сечение жил",BE$5),"")</f>
        <v/>
      </c>
      <c r="BF13" s="304"/>
      <c r="BG13" s="303" t="str">
        <f>IFERROR(GETPIVOTDATA("Длинна кабеля",'Сводная таблица'!$B$2,"Раздел",$F13,"Тип",BG$1,"Число и сечение жил",BG$5),"")</f>
        <v/>
      </c>
      <c r="BH13" s="304"/>
      <c r="BI13" s="303" t="str">
        <f>IFERROR(GETPIVOTDATA("Длинна кабеля",'Сводная таблица'!$B$2,"Раздел",$F13,"Тип",BI$1,"Число и сечение жил",BI$5),"")</f>
        <v/>
      </c>
      <c r="BJ13" s="304"/>
      <c r="BK13" s="303" t="str">
        <f>IFERROR(GETPIVOTDATA("Длинна кабеля",'Сводная таблица'!$B$2,"Раздел",$F13,"Тип",BK$1,"Число и сечение жил",BK$5),"")</f>
        <v/>
      </c>
      <c r="BL13" s="304"/>
      <c r="BM13" s="283"/>
      <c r="BN13" s="284"/>
      <c r="BO13" s="284"/>
      <c r="BP13" s="284"/>
      <c r="BQ13" s="284"/>
      <c r="BR13" s="284"/>
      <c r="BS13" s="284"/>
      <c r="BT13" s="284"/>
      <c r="BU13" s="285"/>
      <c r="BV13" s="13"/>
      <c r="BW13" s="13"/>
      <c r="BX13" s="13"/>
      <c r="BY13" s="13"/>
      <c r="BZ13" s="13"/>
      <c r="CA13" s="13"/>
      <c r="CB13" s="13"/>
      <c r="CC13" s="13"/>
      <c r="CD13" s="13"/>
      <c r="CE13" s="61"/>
    </row>
    <row r="14" spans="1:83" ht="22.5" customHeight="1" thickBot="1" x14ac:dyDescent="0.3">
      <c r="E14" s="308" t="s">
        <v>75</v>
      </c>
      <c r="F14" s="309"/>
      <c r="G14" s="309"/>
      <c r="H14" s="309"/>
      <c r="I14" s="309"/>
      <c r="J14" s="309"/>
      <c r="K14" s="309"/>
      <c r="L14" s="309"/>
      <c r="M14" s="309"/>
      <c r="N14" s="309"/>
      <c r="O14" s="309"/>
      <c r="P14" s="309"/>
      <c r="Q14" s="309"/>
      <c r="R14" s="309"/>
      <c r="S14" s="309"/>
      <c r="T14" s="309"/>
      <c r="U14" s="309"/>
      <c r="V14" s="309"/>
      <c r="W14" s="309"/>
      <c r="X14" s="309"/>
      <c r="Y14" s="309"/>
      <c r="Z14" s="310"/>
      <c r="AA14" s="286">
        <f t="shared" ref="AA14" si="0">SUM(AA2:AB13)</f>
        <v>230</v>
      </c>
      <c r="AB14" s="288"/>
      <c r="AC14" s="286">
        <f t="shared" ref="AC14" si="1">SUM(AC2:AD13)</f>
        <v>20</v>
      </c>
      <c r="AD14" s="288"/>
      <c r="AE14" s="286">
        <f t="shared" ref="AE14" si="2">SUM(AE2:AF13)</f>
        <v>30</v>
      </c>
      <c r="AF14" s="288"/>
      <c r="AG14" s="286">
        <f t="shared" ref="AG14" si="3">SUM(AG2:AH13)</f>
        <v>535</v>
      </c>
      <c r="AH14" s="288"/>
      <c r="AI14" s="286">
        <f t="shared" ref="AI14" si="4">SUM(AI2:AJ13)</f>
        <v>97</v>
      </c>
      <c r="AJ14" s="288"/>
      <c r="AK14" s="286">
        <f t="shared" ref="AK14" si="5">SUM(AK2:AL13)</f>
        <v>92</v>
      </c>
      <c r="AL14" s="288"/>
      <c r="AM14" s="286">
        <f>SUM(AM2:AN13)</f>
        <v>145</v>
      </c>
      <c r="AN14" s="288"/>
      <c r="AO14" s="286">
        <f t="shared" ref="AO14" si="6">SUM(AO2:AP13)</f>
        <v>191</v>
      </c>
      <c r="AP14" s="288"/>
      <c r="AQ14" s="286">
        <f t="shared" ref="AQ14" si="7">SUM(AQ2:AR13)</f>
        <v>826</v>
      </c>
      <c r="AR14" s="288"/>
      <c r="AS14" s="286">
        <f t="shared" ref="AS14" si="8">SUM(AS2:AT13)</f>
        <v>1157</v>
      </c>
      <c r="AT14" s="288"/>
      <c r="AU14" s="286">
        <f t="shared" ref="AU14" si="9">SUM(AU2:AV13)</f>
        <v>380</v>
      </c>
      <c r="AV14" s="288"/>
      <c r="AW14" s="286">
        <f t="shared" ref="AW14" si="10">SUM(AW2:AX13)</f>
        <v>358</v>
      </c>
      <c r="AX14" s="288"/>
      <c r="AY14" s="286">
        <f t="shared" ref="AY14" si="11">SUM(AY2:AZ13)</f>
        <v>230</v>
      </c>
      <c r="AZ14" s="288"/>
      <c r="BA14" s="286">
        <f t="shared" ref="BA14" si="12">SUM(BA2:BB13)</f>
        <v>145</v>
      </c>
      <c r="BB14" s="288"/>
      <c r="BC14" s="286">
        <f t="shared" ref="BC14" si="13">SUM(BC2:BD13)</f>
        <v>172</v>
      </c>
      <c r="BD14" s="288"/>
      <c r="BE14" s="286">
        <f t="shared" ref="BE14" si="14">SUM(BE2:BF13)</f>
        <v>140</v>
      </c>
      <c r="BF14" s="288"/>
      <c r="BG14" s="286">
        <f t="shared" ref="BG14" si="15">SUM(BG2:BH13)</f>
        <v>60</v>
      </c>
      <c r="BH14" s="288"/>
      <c r="BI14" s="286">
        <f t="shared" ref="BI14" si="16">SUM(BI2:BJ13)</f>
        <v>816</v>
      </c>
      <c r="BJ14" s="288"/>
      <c r="BK14" s="286">
        <f t="shared" ref="BK14" si="17">SUM(BK2:BL13)</f>
        <v>853</v>
      </c>
      <c r="BL14" s="288"/>
      <c r="BM14" s="286">
        <f>SUM(Q14:BL14)</f>
        <v>6477</v>
      </c>
      <c r="BN14" s="287"/>
      <c r="BO14" s="287"/>
      <c r="BP14" s="287"/>
      <c r="BQ14" s="287"/>
      <c r="BR14" s="287"/>
      <c r="BS14" s="287"/>
      <c r="BT14" s="287"/>
      <c r="BU14" s="288"/>
      <c r="BV14" s="13"/>
      <c r="BW14" s="13"/>
      <c r="BX14" s="13"/>
      <c r="BY14" s="13"/>
      <c r="BZ14" s="13"/>
      <c r="CA14" s="13"/>
      <c r="CB14" s="13"/>
      <c r="CC14" s="13"/>
      <c r="CD14" s="13"/>
      <c r="CE14" s="61"/>
    </row>
    <row r="15" spans="1:83" ht="22.5" customHeight="1" x14ac:dyDescent="0.25">
      <c r="E15" s="77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61"/>
    </row>
    <row r="16" spans="1:83" ht="22.5" customHeight="1" thickBot="1" x14ac:dyDescent="0.3">
      <c r="E16" s="77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61"/>
    </row>
    <row r="17" spans="1:83" ht="22.5" customHeight="1" x14ac:dyDescent="0.25">
      <c r="B17" s="381" t="s">
        <v>29</v>
      </c>
      <c r="C17" s="379"/>
      <c r="D17" s="380"/>
      <c r="E17" s="77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61"/>
    </row>
    <row r="18" spans="1:83" ht="22.5" customHeight="1" x14ac:dyDescent="0.25">
      <c r="B18" s="382"/>
      <c r="C18" s="321"/>
      <c r="D18" s="323"/>
      <c r="E18" s="77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61"/>
    </row>
    <row r="19" spans="1:83" ht="22.5" customHeight="1" x14ac:dyDescent="0.25">
      <c r="B19" s="382"/>
      <c r="C19" s="321"/>
      <c r="D19" s="323"/>
      <c r="E19" s="77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98"/>
      <c r="AP19" s="298"/>
      <c r="AQ19" s="298"/>
      <c r="AR19" s="298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  <c r="BJ19" s="298"/>
      <c r="BK19" s="298"/>
      <c r="BL19" s="298"/>
      <c r="BM19" s="298"/>
      <c r="BN19" s="298"/>
      <c r="BO19" s="298"/>
      <c r="BP19" s="298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5"/>
    </row>
    <row r="20" spans="1:83" ht="22.5" customHeight="1" x14ac:dyDescent="0.25">
      <c r="B20" s="382"/>
      <c r="C20" s="321"/>
      <c r="D20" s="323"/>
      <c r="E20" s="77"/>
      <c r="F20" s="143"/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92"/>
      <c r="AV20" s="89"/>
      <c r="AW20" s="89"/>
      <c r="AX20" s="89"/>
      <c r="AY20" s="89"/>
      <c r="AZ20" s="89"/>
      <c r="BA20" s="89"/>
      <c r="BB20" s="89"/>
      <c r="BC20" s="89"/>
      <c r="BD20" s="89"/>
      <c r="BE20" s="90"/>
      <c r="BF20" s="90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144"/>
    </row>
    <row r="21" spans="1:83" ht="22.5" customHeight="1" x14ac:dyDescent="0.25">
      <c r="B21" s="382"/>
      <c r="C21" s="321"/>
      <c r="D21" s="323"/>
      <c r="E21" s="77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13"/>
      <c r="AP21" s="13"/>
      <c r="AQ21" s="13"/>
      <c r="AR21" s="13"/>
      <c r="AS21" s="13"/>
      <c r="AT21" s="13"/>
      <c r="AU21" s="163"/>
      <c r="AV21" s="164"/>
      <c r="AW21" s="164"/>
      <c r="AX21" s="164"/>
      <c r="AY21" s="164"/>
      <c r="AZ21" s="164"/>
      <c r="BA21" s="164"/>
      <c r="BB21" s="164"/>
      <c r="BC21" s="164"/>
      <c r="BD21" s="164"/>
      <c r="BE21" s="164"/>
      <c r="BF21" s="164"/>
      <c r="BG21" s="164"/>
      <c r="BH21" s="164"/>
      <c r="BI21" s="164"/>
      <c r="BJ21" s="164"/>
      <c r="BK21" s="164"/>
      <c r="BL21" s="164"/>
      <c r="BM21" s="164"/>
      <c r="BN21" s="164"/>
      <c r="BO21" s="164"/>
      <c r="BP21" s="164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1"/>
      <c r="CC21" s="91"/>
      <c r="CD21" s="91"/>
      <c r="CE21" s="25"/>
    </row>
    <row r="22" spans="1:83" ht="22.5" customHeight="1" x14ac:dyDescent="0.25">
      <c r="B22" s="382"/>
      <c r="C22" s="321"/>
      <c r="D22" s="323"/>
      <c r="E22" s="77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92"/>
      <c r="AV22" s="89"/>
      <c r="AW22" s="89"/>
      <c r="AX22" s="89"/>
      <c r="AY22" s="89"/>
      <c r="AZ22" s="89"/>
      <c r="BA22" s="89"/>
      <c r="BB22" s="89"/>
      <c r="BC22" s="89"/>
      <c r="BD22" s="89"/>
      <c r="BE22" s="91"/>
      <c r="BF22" s="91"/>
      <c r="BG22" s="91"/>
      <c r="BH22" s="91"/>
      <c r="BI22" s="91"/>
      <c r="BJ22" s="91"/>
      <c r="BK22" s="91"/>
      <c r="BL22" s="91"/>
      <c r="BM22" s="91"/>
      <c r="BN22" s="91"/>
      <c r="BO22" s="91"/>
      <c r="BP22" s="91"/>
      <c r="BQ22" s="91"/>
      <c r="BR22" s="91"/>
      <c r="BS22" s="91"/>
      <c r="BT22" s="91"/>
      <c r="BU22" s="91"/>
      <c r="BV22" s="91"/>
      <c r="BW22" s="91"/>
      <c r="BX22" s="91"/>
      <c r="BY22" s="91"/>
      <c r="BZ22" s="91"/>
      <c r="CA22" s="91"/>
      <c r="CB22" s="91"/>
      <c r="CC22" s="91"/>
      <c r="CD22" s="91"/>
      <c r="CE22" s="25"/>
    </row>
    <row r="23" spans="1:83" ht="22.5" customHeight="1" x14ac:dyDescent="0.25">
      <c r="B23" s="382"/>
      <c r="C23" s="321"/>
      <c r="D23" s="323"/>
      <c r="E23" s="77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93"/>
      <c r="AV23" s="89"/>
      <c r="AW23" s="89"/>
      <c r="AX23" s="89"/>
      <c r="AY23" s="89"/>
      <c r="AZ23" s="91"/>
      <c r="BA23" s="91"/>
      <c r="BB23" s="91"/>
      <c r="BC23" s="91"/>
      <c r="BD23" s="91"/>
      <c r="BE23" s="91"/>
      <c r="BF23" s="91"/>
      <c r="BG23" s="91"/>
      <c r="BH23" s="91"/>
      <c r="BI23" s="91"/>
      <c r="BJ23" s="91"/>
      <c r="BK23" s="91"/>
      <c r="BL23" s="91"/>
      <c r="BM23" s="91"/>
      <c r="BN23" s="91"/>
      <c r="BO23" s="91"/>
      <c r="BP23" s="91"/>
      <c r="BQ23" s="91"/>
      <c r="BR23" s="91"/>
      <c r="BS23" s="91"/>
      <c r="BT23" s="91"/>
      <c r="BU23" s="91"/>
      <c r="BV23" s="91"/>
      <c r="BW23" s="91"/>
      <c r="BX23" s="91"/>
      <c r="BY23" s="91"/>
      <c r="BZ23" s="91"/>
      <c r="CA23" s="91"/>
      <c r="CB23" s="91"/>
      <c r="CC23" s="91"/>
      <c r="CD23" s="91"/>
      <c r="CE23" s="25"/>
    </row>
    <row r="24" spans="1:83" ht="22.5" customHeight="1" x14ac:dyDescent="0.25">
      <c r="B24" s="382"/>
      <c r="C24" s="321"/>
      <c r="D24" s="323"/>
      <c r="E24" s="77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104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91"/>
      <c r="BG24" s="91"/>
      <c r="BH24" s="91"/>
      <c r="BI24" s="91"/>
      <c r="BJ24" s="91"/>
      <c r="BK24" s="91"/>
      <c r="BL24" s="91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25"/>
    </row>
    <row r="25" spans="1:83" ht="22.5" customHeight="1" x14ac:dyDescent="0.25">
      <c r="B25" s="382"/>
      <c r="C25" s="321"/>
      <c r="D25" s="323"/>
      <c r="E25" s="77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105"/>
      <c r="AV25" s="105"/>
      <c r="AW25" s="105"/>
      <c r="AX25" s="105"/>
      <c r="AY25" s="105"/>
      <c r="AZ25" s="105"/>
      <c r="BA25" s="105"/>
      <c r="BB25" s="105"/>
      <c r="BC25" s="105"/>
      <c r="BD25" s="105"/>
      <c r="BE25" s="105"/>
      <c r="BF25" s="91"/>
      <c r="BG25" s="91"/>
      <c r="BH25" s="91"/>
      <c r="BI25" s="91"/>
      <c r="BJ25" s="91"/>
      <c r="BK25" s="91"/>
      <c r="BL25" s="91"/>
      <c r="BM25" s="91"/>
      <c r="BN25" s="91"/>
      <c r="BO25" s="91"/>
      <c r="BP25" s="91"/>
      <c r="BQ25" s="91"/>
      <c r="BR25" s="91"/>
      <c r="BS25" s="91"/>
      <c r="BT25" s="91"/>
      <c r="BU25" s="91"/>
      <c r="BV25" s="91"/>
      <c r="BW25" s="91"/>
      <c r="BX25" s="91"/>
      <c r="BY25" s="91"/>
      <c r="BZ25" s="91"/>
      <c r="CA25" s="91"/>
      <c r="CB25" s="91"/>
      <c r="CC25" s="91"/>
      <c r="CD25" s="91"/>
      <c r="CE25" s="25"/>
    </row>
    <row r="26" spans="1:83" ht="22.5" customHeight="1" thickBot="1" x14ac:dyDescent="0.3">
      <c r="B26" s="383"/>
      <c r="C26" s="322"/>
      <c r="D26" s="324"/>
      <c r="E26" s="77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105"/>
      <c r="AV26" s="105"/>
      <c r="AW26" s="105"/>
      <c r="AX26" s="105"/>
      <c r="AY26" s="105"/>
      <c r="AZ26" s="105"/>
      <c r="BA26" s="105"/>
      <c r="BB26" s="105"/>
      <c r="BC26" s="105"/>
      <c r="BD26" s="105"/>
      <c r="BE26" s="105"/>
      <c r="BF26" s="91"/>
      <c r="BG26" s="91"/>
      <c r="BH26" s="91"/>
      <c r="BI26" s="91"/>
      <c r="BJ26" s="91"/>
      <c r="BK26" s="91"/>
      <c r="BL26" s="91"/>
      <c r="BM26" s="91"/>
      <c r="BN26" s="91"/>
      <c r="BO26" s="91"/>
      <c r="BP26" s="91"/>
      <c r="BQ26" s="91"/>
      <c r="BR26" s="91"/>
      <c r="BS26" s="91"/>
      <c r="BT26" s="91"/>
      <c r="BU26" s="91"/>
      <c r="BV26" s="91"/>
      <c r="BW26" s="91"/>
      <c r="BX26" s="91"/>
      <c r="BY26" s="91"/>
      <c r="BZ26" s="91"/>
      <c r="CA26" s="91"/>
      <c r="CB26" s="91"/>
      <c r="CC26" s="91"/>
      <c r="CD26" s="91"/>
      <c r="CE26" s="25"/>
    </row>
    <row r="27" spans="1:83" ht="22.5" customHeight="1" thickBot="1" x14ac:dyDescent="0.3">
      <c r="A27" s="12"/>
      <c r="B27" s="12"/>
      <c r="C27" s="319" t="s">
        <v>28</v>
      </c>
      <c r="D27" s="320"/>
      <c r="E27" s="77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93"/>
      <c r="AV27" s="91"/>
      <c r="AW27" s="91"/>
      <c r="AX27" s="91"/>
      <c r="AY27" s="91"/>
      <c r="AZ27" s="91"/>
      <c r="BA27" s="91"/>
      <c r="BB27" s="91"/>
      <c r="BC27" s="91"/>
      <c r="BD27" s="91"/>
      <c r="BE27" s="91"/>
      <c r="BF27" s="91"/>
      <c r="BG27" s="91"/>
      <c r="BH27" s="91"/>
      <c r="BI27" s="91"/>
      <c r="BJ27" s="91"/>
      <c r="BK27" s="91"/>
      <c r="BL27" s="91"/>
      <c r="BM27" s="91"/>
      <c r="BN27" s="91"/>
      <c r="BO27" s="91"/>
      <c r="BP27" s="91"/>
      <c r="BQ27" s="91"/>
      <c r="BR27" s="91"/>
      <c r="BS27" s="91"/>
      <c r="BT27" s="91"/>
      <c r="BU27" s="91"/>
      <c r="BV27" s="91"/>
      <c r="BW27" s="91"/>
      <c r="BX27" s="91"/>
      <c r="BY27" s="91"/>
      <c r="BZ27" s="91"/>
      <c r="CA27" s="91"/>
      <c r="CB27" s="91"/>
      <c r="CC27" s="91"/>
      <c r="CD27" s="91"/>
      <c r="CE27" s="25"/>
    </row>
    <row r="28" spans="1:83" ht="22.5" customHeight="1" thickBot="1" x14ac:dyDescent="0.3">
      <c r="A28" s="12"/>
      <c r="B28" s="12"/>
      <c r="C28" s="319"/>
      <c r="D28" s="320"/>
      <c r="E28" s="77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93"/>
      <c r="AV28" s="91"/>
      <c r="AW28" s="91"/>
      <c r="AX28" s="91"/>
      <c r="AY28" s="91"/>
      <c r="AZ28" s="91"/>
      <c r="BA28" s="91"/>
      <c r="BB28" s="91"/>
      <c r="BC28" s="91"/>
      <c r="BD28" s="91"/>
      <c r="BE28" s="91"/>
      <c r="BF28" s="91"/>
      <c r="BG28" s="91"/>
      <c r="BH28" s="91"/>
      <c r="BI28" s="91"/>
      <c r="BJ28" s="91"/>
      <c r="BK28" s="91"/>
      <c r="BL28" s="91"/>
      <c r="BM28" s="91"/>
      <c r="BN28" s="91"/>
      <c r="BO28" s="91"/>
      <c r="BP28" s="91"/>
      <c r="BQ28" s="91"/>
      <c r="BR28" s="91"/>
      <c r="BS28" s="91"/>
      <c r="BT28" s="91"/>
      <c r="BU28" s="91"/>
      <c r="BV28" s="91"/>
      <c r="BW28" s="91"/>
      <c r="BX28" s="91"/>
      <c r="BY28" s="91"/>
      <c r="BZ28" s="91"/>
      <c r="CA28" s="91"/>
      <c r="CB28" s="91"/>
      <c r="CC28" s="91"/>
      <c r="CD28" s="91"/>
      <c r="CE28" s="25"/>
    </row>
    <row r="29" spans="1:83" ht="22.5" customHeight="1" thickBot="1" x14ac:dyDescent="0.3">
      <c r="A29" s="12"/>
      <c r="B29" s="12"/>
      <c r="C29" s="319"/>
      <c r="D29" s="320"/>
      <c r="E29" s="77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93"/>
      <c r="AV29" s="91"/>
      <c r="AW29" s="91"/>
      <c r="AX29" s="91"/>
      <c r="AY29" s="91"/>
      <c r="AZ29" s="91"/>
      <c r="BA29" s="91"/>
      <c r="BB29" s="91"/>
      <c r="BC29" s="91"/>
      <c r="BD29" s="91"/>
      <c r="BE29" s="91"/>
      <c r="BF29" s="91"/>
      <c r="BG29" s="91"/>
      <c r="BH29" s="91"/>
      <c r="BI29" s="91"/>
      <c r="BJ29" s="91"/>
      <c r="BK29" s="91"/>
      <c r="BL29" s="91"/>
      <c r="BM29" s="91"/>
      <c r="BN29" s="91"/>
      <c r="BO29" s="91"/>
      <c r="BP29" s="91"/>
      <c r="BQ29" s="91"/>
      <c r="BR29" s="91"/>
      <c r="BS29" s="91"/>
      <c r="BT29" s="91"/>
      <c r="BU29" s="91"/>
      <c r="BV29" s="91"/>
      <c r="BW29" s="91"/>
      <c r="BX29" s="91"/>
      <c r="BY29" s="91"/>
      <c r="BZ29" s="91"/>
      <c r="CA29" s="91"/>
      <c r="CB29" s="91"/>
      <c r="CC29" s="91"/>
      <c r="CD29" s="91"/>
      <c r="CE29" s="25"/>
    </row>
    <row r="30" spans="1:83" ht="22.5" customHeight="1" thickBot="1" x14ac:dyDescent="0.3">
      <c r="A30" s="12"/>
      <c r="B30" s="12"/>
      <c r="C30" s="319"/>
      <c r="D30" s="320"/>
      <c r="E30" s="77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93"/>
      <c r="AV30" s="91"/>
      <c r="AW30" s="91"/>
      <c r="AX30" s="91"/>
      <c r="AY30" s="91"/>
      <c r="AZ30" s="91"/>
      <c r="BA30" s="91"/>
      <c r="BB30" s="91"/>
      <c r="BC30" s="91"/>
      <c r="BD30" s="91"/>
      <c r="BE30" s="91"/>
      <c r="BF30" s="91"/>
      <c r="BG30" s="91"/>
      <c r="BH30" s="91"/>
      <c r="BI30" s="91"/>
      <c r="BJ30" s="91"/>
      <c r="BK30" s="91"/>
      <c r="BL30" s="91"/>
      <c r="BM30" s="91"/>
      <c r="BN30" s="91"/>
      <c r="BO30" s="91"/>
      <c r="BP30" s="91"/>
      <c r="BQ30" s="91"/>
      <c r="BR30" s="91"/>
      <c r="BS30" s="91"/>
      <c r="BT30" s="91"/>
      <c r="BU30" s="91"/>
      <c r="BV30" s="91"/>
      <c r="BW30" s="91"/>
      <c r="BX30" s="91"/>
      <c r="BY30" s="91"/>
      <c r="BZ30" s="91"/>
      <c r="CA30" s="91"/>
      <c r="CB30" s="91"/>
      <c r="CC30" s="91"/>
      <c r="CD30" s="91"/>
      <c r="CE30" s="25"/>
    </row>
    <row r="31" spans="1:83" ht="22.5" customHeight="1" thickBot="1" x14ac:dyDescent="0.3">
      <c r="A31" s="12"/>
      <c r="B31" s="12"/>
      <c r="C31" s="319"/>
      <c r="D31" s="320"/>
      <c r="E31" s="77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93"/>
      <c r="AV31" s="91"/>
      <c r="AW31" s="91"/>
      <c r="AX31" s="91"/>
      <c r="AY31" s="91"/>
      <c r="AZ31" s="91"/>
      <c r="BA31" s="91"/>
      <c r="BB31" s="91"/>
      <c r="BC31" s="91"/>
      <c r="BD31" s="91"/>
      <c r="BE31" s="91"/>
      <c r="BF31" s="91"/>
      <c r="BG31" s="91"/>
      <c r="BH31" s="91"/>
      <c r="BI31" s="91"/>
      <c r="BJ31" s="91"/>
      <c r="BK31" s="91"/>
      <c r="BL31" s="91"/>
      <c r="BM31" s="91"/>
      <c r="BN31" s="91"/>
      <c r="BO31" s="91"/>
      <c r="BP31" s="91"/>
      <c r="BQ31" s="91"/>
      <c r="BR31" s="91"/>
      <c r="BS31" s="91"/>
      <c r="BT31" s="91"/>
      <c r="BU31" s="91"/>
      <c r="BV31" s="91"/>
      <c r="BW31" s="91"/>
      <c r="BX31" s="91"/>
      <c r="BY31" s="91"/>
      <c r="BZ31" s="91"/>
      <c r="CA31" s="91"/>
      <c r="CB31" s="91"/>
      <c r="CC31" s="91"/>
      <c r="CD31" s="91"/>
      <c r="CE31" s="25"/>
    </row>
    <row r="32" spans="1:83" ht="22.5" customHeight="1" thickBot="1" x14ac:dyDescent="0.3">
      <c r="A32" s="12"/>
      <c r="B32" s="12"/>
      <c r="C32" s="319" t="s">
        <v>26</v>
      </c>
      <c r="D32" s="320"/>
      <c r="E32" s="142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  <c r="CD32" s="22"/>
      <c r="CE32" s="25"/>
    </row>
    <row r="33" spans="1:83" ht="14.1" customHeight="1" thickBot="1" x14ac:dyDescent="0.3">
      <c r="A33" s="12"/>
      <c r="B33" s="12"/>
      <c r="C33" s="319"/>
      <c r="D33" s="320"/>
      <c r="E33" s="142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375"/>
      <c r="AV33" s="375"/>
      <c r="AW33" s="375"/>
      <c r="AX33" s="375"/>
      <c r="AY33" s="375"/>
      <c r="AZ33" s="375"/>
      <c r="BA33" s="375"/>
      <c r="BB33" s="375"/>
      <c r="BC33" s="375"/>
      <c r="BD33" s="375"/>
      <c r="BE33" s="375"/>
      <c r="BF33" s="365"/>
      <c r="BG33" s="365"/>
      <c r="BH33" s="366" t="str">
        <f>Содержание!AJ29</f>
        <v>29-КМЧ-2015-027-ЭП.С</v>
      </c>
      <c r="BI33" s="367"/>
      <c r="BJ33" s="367"/>
      <c r="BK33" s="367"/>
      <c r="BL33" s="367"/>
      <c r="BM33" s="367"/>
      <c r="BN33" s="367"/>
      <c r="BO33" s="367"/>
      <c r="BP33" s="367"/>
      <c r="BQ33" s="367"/>
      <c r="BR33" s="367"/>
      <c r="BS33" s="367"/>
      <c r="BT33" s="367"/>
      <c r="BU33" s="367"/>
      <c r="BV33" s="367"/>
      <c r="BW33" s="367"/>
      <c r="BX33" s="367"/>
      <c r="BY33" s="367"/>
      <c r="BZ33" s="367"/>
      <c r="CA33" s="367"/>
      <c r="CB33" s="367"/>
      <c r="CC33" s="367"/>
      <c r="CD33" s="367"/>
      <c r="CE33" s="368"/>
    </row>
    <row r="34" spans="1:83" ht="14.1" customHeight="1" thickBot="1" x14ac:dyDescent="0.3">
      <c r="A34" s="12"/>
      <c r="B34" s="12"/>
      <c r="C34" s="319"/>
      <c r="D34" s="320"/>
      <c r="E34" s="142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372"/>
      <c r="AV34" s="373"/>
      <c r="AW34" s="372"/>
      <c r="AX34" s="373"/>
      <c r="AY34" s="372"/>
      <c r="AZ34" s="373"/>
      <c r="BA34" s="372"/>
      <c r="BB34" s="373"/>
      <c r="BC34" s="372"/>
      <c r="BD34" s="374"/>
      <c r="BE34" s="373"/>
      <c r="BF34" s="348"/>
      <c r="BG34" s="348"/>
      <c r="BH34" s="369"/>
      <c r="BI34" s="370"/>
      <c r="BJ34" s="370"/>
      <c r="BK34" s="370"/>
      <c r="BL34" s="370"/>
      <c r="BM34" s="370"/>
      <c r="BN34" s="370"/>
      <c r="BO34" s="370"/>
      <c r="BP34" s="370"/>
      <c r="BQ34" s="370"/>
      <c r="BR34" s="370"/>
      <c r="BS34" s="370"/>
      <c r="BT34" s="370"/>
      <c r="BU34" s="370"/>
      <c r="BV34" s="370"/>
      <c r="BW34" s="370"/>
      <c r="BX34" s="370"/>
      <c r="BY34" s="370"/>
      <c r="BZ34" s="370"/>
      <c r="CA34" s="370"/>
      <c r="CB34" s="370"/>
      <c r="CC34" s="370"/>
      <c r="CD34" s="370"/>
      <c r="CE34" s="371"/>
    </row>
    <row r="35" spans="1:83" ht="14.1" customHeight="1" thickBot="1" x14ac:dyDescent="0.3">
      <c r="A35" s="12"/>
      <c r="B35" s="12"/>
      <c r="C35" s="319"/>
      <c r="D35" s="320"/>
      <c r="E35" s="142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364"/>
      <c r="AV35" s="364"/>
      <c r="AW35" s="364"/>
      <c r="AX35" s="364"/>
      <c r="AY35" s="364"/>
      <c r="AZ35" s="364"/>
      <c r="BA35" s="364"/>
      <c r="BB35" s="364"/>
      <c r="BC35" s="364"/>
      <c r="BD35" s="364"/>
      <c r="BE35" s="364"/>
      <c r="BF35" s="348"/>
      <c r="BG35" s="348"/>
      <c r="BH35" s="349" t="str">
        <f>Содержание!AJ31</f>
        <v>Выполнение комплекса работ "под ключ" по обеспечению технологического присоединения объектов шифр 3002/Р "Дооборудование пункта хранения, подготовки и выдачи изделий", шифр 720 "Строительство и реконструкция специальных сооружений в/ч 31268" и Объекты социально-бытового назначения администрации Вилючинского городского округа</v>
      </c>
      <c r="BI35" s="350"/>
      <c r="BJ35" s="350"/>
      <c r="BK35" s="350"/>
      <c r="BL35" s="350"/>
      <c r="BM35" s="350"/>
      <c r="BN35" s="350"/>
      <c r="BO35" s="350"/>
      <c r="BP35" s="350"/>
      <c r="BQ35" s="350"/>
      <c r="BR35" s="350"/>
      <c r="BS35" s="350"/>
      <c r="BT35" s="350"/>
      <c r="BU35" s="350"/>
      <c r="BV35" s="350"/>
      <c r="BW35" s="350"/>
      <c r="BX35" s="350"/>
      <c r="BY35" s="350"/>
      <c r="BZ35" s="350"/>
      <c r="CA35" s="350"/>
      <c r="CB35" s="350"/>
      <c r="CC35" s="350"/>
      <c r="CD35" s="350"/>
      <c r="CE35" s="351"/>
    </row>
    <row r="36" spans="1:83" ht="14.1" customHeight="1" thickBot="1" x14ac:dyDescent="0.3">
      <c r="A36" s="12"/>
      <c r="B36" s="12"/>
      <c r="C36" s="319"/>
      <c r="D36" s="320"/>
      <c r="E36" s="142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358"/>
      <c r="AV36" s="358"/>
      <c r="AW36" s="358"/>
      <c r="AX36" s="358"/>
      <c r="AY36" s="358"/>
      <c r="AZ36" s="358"/>
      <c r="BA36" s="358"/>
      <c r="BB36" s="358"/>
      <c r="BC36" s="358"/>
      <c r="BD36" s="358"/>
      <c r="BE36" s="358"/>
      <c r="BF36" s="359"/>
      <c r="BG36" s="359"/>
      <c r="BH36" s="352"/>
      <c r="BI36" s="353"/>
      <c r="BJ36" s="353"/>
      <c r="BK36" s="353"/>
      <c r="BL36" s="353"/>
      <c r="BM36" s="353"/>
      <c r="BN36" s="353"/>
      <c r="BO36" s="353"/>
      <c r="BP36" s="353"/>
      <c r="BQ36" s="353"/>
      <c r="BR36" s="353"/>
      <c r="BS36" s="353"/>
      <c r="BT36" s="353"/>
      <c r="BU36" s="353"/>
      <c r="BV36" s="353"/>
      <c r="BW36" s="353"/>
      <c r="BX36" s="353"/>
      <c r="BY36" s="353"/>
      <c r="BZ36" s="353"/>
      <c r="CA36" s="353"/>
      <c r="CB36" s="353"/>
      <c r="CC36" s="353"/>
      <c r="CD36" s="353"/>
      <c r="CE36" s="354"/>
    </row>
    <row r="37" spans="1:83" ht="14.1" customHeight="1" thickBot="1" x14ac:dyDescent="0.3">
      <c r="A37" s="12"/>
      <c r="B37" s="12"/>
      <c r="C37" s="319"/>
      <c r="D37" s="320"/>
      <c r="E37" s="142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360" t="s">
        <v>25</v>
      </c>
      <c r="AV37" s="361"/>
      <c r="AW37" s="362" t="s">
        <v>30</v>
      </c>
      <c r="AX37" s="361"/>
      <c r="AY37" s="362" t="s">
        <v>18</v>
      </c>
      <c r="AZ37" s="361"/>
      <c r="BA37" s="362" t="s">
        <v>23</v>
      </c>
      <c r="BB37" s="361"/>
      <c r="BC37" s="362" t="s">
        <v>22</v>
      </c>
      <c r="BD37" s="363"/>
      <c r="BE37" s="361"/>
      <c r="BF37" s="362" t="s">
        <v>21</v>
      </c>
      <c r="BG37" s="363"/>
      <c r="BH37" s="355"/>
      <c r="BI37" s="356"/>
      <c r="BJ37" s="356"/>
      <c r="BK37" s="356"/>
      <c r="BL37" s="356"/>
      <c r="BM37" s="356"/>
      <c r="BN37" s="356"/>
      <c r="BO37" s="356"/>
      <c r="BP37" s="356"/>
      <c r="BQ37" s="356"/>
      <c r="BR37" s="356"/>
      <c r="BS37" s="356"/>
      <c r="BT37" s="356"/>
      <c r="BU37" s="356"/>
      <c r="BV37" s="356"/>
      <c r="BW37" s="356"/>
      <c r="BX37" s="356"/>
      <c r="BY37" s="356"/>
      <c r="BZ37" s="356"/>
      <c r="CA37" s="356"/>
      <c r="CB37" s="356"/>
      <c r="CC37" s="356"/>
      <c r="CD37" s="356"/>
      <c r="CE37" s="357"/>
    </row>
    <row r="38" spans="1:83" ht="14.1" customHeight="1" thickBot="1" x14ac:dyDescent="0.3">
      <c r="A38" s="12"/>
      <c r="B38" s="12"/>
      <c r="C38" s="319"/>
      <c r="D38" s="320"/>
      <c r="E38" s="142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342" t="str">
        <f>Содержание!W34</f>
        <v>Разраб.</v>
      </c>
      <c r="AV38" s="343"/>
      <c r="AW38" s="343"/>
      <c r="AX38" s="344"/>
      <c r="AY38" s="342" t="str">
        <f>Содержание!AA34</f>
        <v>Романов</v>
      </c>
      <c r="AZ38" s="343"/>
      <c r="BA38" s="343"/>
      <c r="BB38" s="344"/>
      <c r="BC38" s="345"/>
      <c r="BD38" s="346"/>
      <c r="BE38" s="347"/>
      <c r="BF38" s="346" t="str">
        <f>Содержание!AH34</f>
        <v>02.17</v>
      </c>
      <c r="BG38" s="347"/>
      <c r="BH38" s="325" t="str">
        <f>Содержание!AJ34</f>
        <v>Кабельное хозяйство. 
Электротехнические решения.</v>
      </c>
      <c r="BI38" s="325"/>
      <c r="BJ38" s="325"/>
      <c r="BK38" s="325"/>
      <c r="BL38" s="325"/>
      <c r="BM38" s="325"/>
      <c r="BN38" s="325"/>
      <c r="BO38" s="325"/>
      <c r="BP38" s="325"/>
      <c r="BQ38" s="325"/>
      <c r="BR38" s="325"/>
      <c r="BS38" s="325"/>
      <c r="BT38" s="325"/>
      <c r="BU38" s="325"/>
      <c r="BV38" s="341" t="s">
        <v>31</v>
      </c>
      <c r="BW38" s="341"/>
      <c r="BX38" s="341"/>
      <c r="BY38" s="341" t="s">
        <v>18</v>
      </c>
      <c r="BZ38" s="341"/>
      <c r="CA38" s="341"/>
      <c r="CB38" s="341" t="s">
        <v>32</v>
      </c>
      <c r="CC38" s="341"/>
      <c r="CD38" s="341"/>
      <c r="CE38" s="341"/>
    </row>
    <row r="39" spans="1:83" ht="14.1" customHeight="1" thickBot="1" x14ac:dyDescent="0.3">
      <c r="A39" s="12"/>
      <c r="B39" s="12"/>
      <c r="C39" s="319" t="s">
        <v>77</v>
      </c>
      <c r="D39" s="320"/>
      <c r="E39" s="142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326" t="str">
        <f>Содержание!W35</f>
        <v>Проверил</v>
      </c>
      <c r="AV39" s="327"/>
      <c r="AW39" s="327"/>
      <c r="AX39" s="328"/>
      <c r="AY39" s="326" t="str">
        <f>Содержание!AA35</f>
        <v>Самуйлов</v>
      </c>
      <c r="AZ39" s="327"/>
      <c r="BA39" s="327"/>
      <c r="BB39" s="328"/>
      <c r="BC39" s="332"/>
      <c r="BD39" s="333"/>
      <c r="BE39" s="334"/>
      <c r="BF39" s="332" t="str">
        <f>Содержание!AH35</f>
        <v>02.17</v>
      </c>
      <c r="BG39" s="334"/>
      <c r="BH39" s="325"/>
      <c r="BI39" s="325"/>
      <c r="BJ39" s="325"/>
      <c r="BK39" s="325"/>
      <c r="BL39" s="325"/>
      <c r="BM39" s="325"/>
      <c r="BN39" s="325"/>
      <c r="BO39" s="325"/>
      <c r="BP39" s="325"/>
      <c r="BQ39" s="325"/>
      <c r="BR39" s="325"/>
      <c r="BS39" s="325"/>
      <c r="BT39" s="325"/>
      <c r="BU39" s="325"/>
      <c r="BV39" s="325" t="str">
        <f>Содержание!AX35</f>
        <v>Р</v>
      </c>
      <c r="BW39" s="325"/>
      <c r="BX39" s="325"/>
      <c r="BY39" s="325">
        <v>2</v>
      </c>
      <c r="BZ39" s="325"/>
      <c r="CA39" s="325"/>
      <c r="CB39" s="325">
        <f>Содержание!BD35</f>
        <v>16</v>
      </c>
      <c r="CC39" s="325"/>
      <c r="CD39" s="325"/>
      <c r="CE39" s="325"/>
    </row>
    <row r="40" spans="1:83" ht="14.1" customHeight="1" thickBot="1" x14ac:dyDescent="0.3">
      <c r="A40" s="12"/>
      <c r="B40" s="12"/>
      <c r="C40" s="319"/>
      <c r="D40" s="320"/>
      <c r="E40" s="142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326">
        <f>Содержание!W36</f>
        <v>0</v>
      </c>
      <c r="AV40" s="327"/>
      <c r="AW40" s="327"/>
      <c r="AX40" s="328"/>
      <c r="AY40" s="326">
        <f>Содержание!AA36</f>
        <v>0</v>
      </c>
      <c r="AZ40" s="327"/>
      <c r="BA40" s="327"/>
      <c r="BB40" s="328"/>
      <c r="BC40" s="332"/>
      <c r="BD40" s="333"/>
      <c r="BE40" s="334"/>
      <c r="BF40" s="332">
        <f>Содержание!AH36</f>
        <v>0</v>
      </c>
      <c r="BG40" s="334"/>
      <c r="BH40" s="325"/>
      <c r="BI40" s="325"/>
      <c r="BJ40" s="325"/>
      <c r="BK40" s="325"/>
      <c r="BL40" s="325"/>
      <c r="BM40" s="325"/>
      <c r="BN40" s="325"/>
      <c r="BO40" s="325"/>
      <c r="BP40" s="325"/>
      <c r="BQ40" s="325"/>
      <c r="BR40" s="325"/>
      <c r="BS40" s="325"/>
      <c r="BT40" s="325"/>
      <c r="BU40" s="325"/>
      <c r="BV40" s="325"/>
      <c r="BW40" s="325"/>
      <c r="BX40" s="325"/>
      <c r="BY40" s="325"/>
      <c r="BZ40" s="325"/>
      <c r="CA40" s="325"/>
      <c r="CB40" s="325"/>
      <c r="CC40" s="325"/>
      <c r="CD40" s="325"/>
      <c r="CE40" s="325"/>
    </row>
    <row r="41" spans="1:83" ht="14.1" customHeight="1" thickBot="1" x14ac:dyDescent="0.3">
      <c r="A41" s="12"/>
      <c r="B41" s="12"/>
      <c r="C41" s="319"/>
      <c r="D41" s="320"/>
      <c r="E41" s="142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326" t="str">
        <f>Содержание!W37</f>
        <v>Н.контр.</v>
      </c>
      <c r="AV41" s="327"/>
      <c r="AW41" s="327"/>
      <c r="AX41" s="328"/>
      <c r="AY41" s="326" t="str">
        <f>Содержание!AA37</f>
        <v>Домнин</v>
      </c>
      <c r="AZ41" s="327"/>
      <c r="BA41" s="327"/>
      <c r="BB41" s="328"/>
      <c r="BC41" s="332"/>
      <c r="BD41" s="333"/>
      <c r="BE41" s="334"/>
      <c r="BF41" s="332" t="str">
        <f>Содержание!AH37</f>
        <v>02.17</v>
      </c>
      <c r="BG41" s="334"/>
      <c r="BH41" s="289" t="s">
        <v>56</v>
      </c>
      <c r="BI41" s="293"/>
      <c r="BJ41" s="293"/>
      <c r="BK41" s="293"/>
      <c r="BL41" s="293"/>
      <c r="BM41" s="293"/>
      <c r="BN41" s="293"/>
      <c r="BO41" s="293"/>
      <c r="BP41" s="293"/>
      <c r="BQ41" s="293"/>
      <c r="BR41" s="293"/>
      <c r="BS41" s="293"/>
      <c r="BT41" s="293"/>
      <c r="BU41" s="290"/>
      <c r="BV41" s="325" t="str">
        <f>Содержание!AX37</f>
        <v>ООО "Энергетическое Строительство"</v>
      </c>
      <c r="BW41" s="325"/>
      <c r="BX41" s="325"/>
      <c r="BY41" s="325"/>
      <c r="BZ41" s="325"/>
      <c r="CA41" s="325"/>
      <c r="CB41" s="325"/>
      <c r="CC41" s="325"/>
      <c r="CD41" s="325"/>
      <c r="CE41" s="325"/>
    </row>
    <row r="42" spans="1:83" ht="14.1" customHeight="1" thickBot="1" x14ac:dyDescent="0.3">
      <c r="A42" s="12"/>
      <c r="B42" s="12"/>
      <c r="C42" s="319"/>
      <c r="D42" s="320"/>
      <c r="E42" s="142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326" t="str">
        <f>Содержание!W38</f>
        <v>ГИП</v>
      </c>
      <c r="AV42" s="327"/>
      <c r="AW42" s="327"/>
      <c r="AX42" s="328"/>
      <c r="AY42" s="329" t="str">
        <f>Содержание!AA38</f>
        <v>Калабин</v>
      </c>
      <c r="AZ42" s="330"/>
      <c r="BA42" s="330"/>
      <c r="BB42" s="331"/>
      <c r="BC42" s="332"/>
      <c r="BD42" s="333"/>
      <c r="BE42" s="334"/>
      <c r="BF42" s="332" t="str">
        <f>Содержание!AH38</f>
        <v>02.17</v>
      </c>
      <c r="BG42" s="334"/>
      <c r="BH42" s="315"/>
      <c r="BI42" s="316"/>
      <c r="BJ42" s="316"/>
      <c r="BK42" s="316"/>
      <c r="BL42" s="316"/>
      <c r="BM42" s="316"/>
      <c r="BN42" s="316"/>
      <c r="BO42" s="316"/>
      <c r="BP42" s="316"/>
      <c r="BQ42" s="316"/>
      <c r="BR42" s="316"/>
      <c r="BS42" s="316"/>
      <c r="BT42" s="316"/>
      <c r="BU42" s="317"/>
      <c r="BV42" s="325"/>
      <c r="BW42" s="325"/>
      <c r="BX42" s="325"/>
      <c r="BY42" s="325"/>
      <c r="BZ42" s="325"/>
      <c r="CA42" s="325"/>
      <c r="CB42" s="325"/>
      <c r="CC42" s="325"/>
      <c r="CD42" s="325"/>
      <c r="CE42" s="325"/>
    </row>
    <row r="43" spans="1:83" ht="14.1" customHeight="1" thickBot="1" x14ac:dyDescent="0.3">
      <c r="A43" s="12"/>
      <c r="B43" s="12"/>
      <c r="C43" s="319"/>
      <c r="D43" s="320"/>
      <c r="E43" s="26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335">
        <f>Содержание!W39</f>
        <v>0</v>
      </c>
      <c r="AV43" s="336"/>
      <c r="AW43" s="336"/>
      <c r="AX43" s="337"/>
      <c r="AY43" s="335">
        <f>Содержание!AA39</f>
        <v>0</v>
      </c>
      <c r="AZ43" s="336"/>
      <c r="BA43" s="336"/>
      <c r="BB43" s="337"/>
      <c r="BC43" s="338"/>
      <c r="BD43" s="339"/>
      <c r="BE43" s="340"/>
      <c r="BF43" s="338">
        <f>Содержание!AH39</f>
        <v>0</v>
      </c>
      <c r="BG43" s="340"/>
      <c r="BH43" s="291"/>
      <c r="BI43" s="294"/>
      <c r="BJ43" s="294"/>
      <c r="BK43" s="294"/>
      <c r="BL43" s="294"/>
      <c r="BM43" s="294"/>
      <c r="BN43" s="294"/>
      <c r="BO43" s="294"/>
      <c r="BP43" s="294"/>
      <c r="BQ43" s="294"/>
      <c r="BR43" s="294"/>
      <c r="BS43" s="294"/>
      <c r="BT43" s="294"/>
      <c r="BU43" s="292"/>
      <c r="BV43" s="325"/>
      <c r="BW43" s="325"/>
      <c r="BX43" s="325"/>
      <c r="BY43" s="325"/>
      <c r="BZ43" s="325"/>
      <c r="CA43" s="325"/>
      <c r="CB43" s="325"/>
      <c r="CC43" s="325"/>
      <c r="CD43" s="325"/>
      <c r="CE43" s="325"/>
    </row>
    <row r="46" spans="1:83" ht="15" customHeight="1" x14ac:dyDescent="0.25"/>
  </sheetData>
  <mergeCells count="358">
    <mergeCell ref="D21:D23"/>
    <mergeCell ref="C19:C20"/>
    <mergeCell ref="D19:D20"/>
    <mergeCell ref="C17:C18"/>
    <mergeCell ref="D17:D18"/>
    <mergeCell ref="B17:B26"/>
    <mergeCell ref="E3:E5"/>
    <mergeCell ref="C21:C23"/>
    <mergeCell ref="AA9:AB9"/>
    <mergeCell ref="AE5:AF5"/>
    <mergeCell ref="F3:Z5"/>
    <mergeCell ref="AA1:AB1"/>
    <mergeCell ref="AA2:AB2"/>
    <mergeCell ref="AE7:AF7"/>
    <mergeCell ref="AE6:AF6"/>
    <mergeCell ref="F6:Z6"/>
    <mergeCell ref="F7:Z7"/>
    <mergeCell ref="AE8:AF8"/>
    <mergeCell ref="F8:Z8"/>
    <mergeCell ref="AE3:AF4"/>
    <mergeCell ref="AA5:AB5"/>
    <mergeCell ref="AC5:AD5"/>
    <mergeCell ref="AA8:AB8"/>
    <mergeCell ref="AC8:AD8"/>
    <mergeCell ref="AA7:AB7"/>
    <mergeCell ref="AC7:AD7"/>
    <mergeCell ref="AW1:AX1"/>
    <mergeCell ref="AC2:AD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AW2:AX2"/>
    <mergeCell ref="AM1:AN1"/>
    <mergeCell ref="AO1:AP1"/>
    <mergeCell ref="AQ1:AR1"/>
    <mergeCell ref="AS1:AT1"/>
    <mergeCell ref="AU1:AV1"/>
    <mergeCell ref="AC1:AD1"/>
    <mergeCell ref="AE1:AF1"/>
    <mergeCell ref="AG1:AH1"/>
    <mergeCell ref="AI1:AJ1"/>
    <mergeCell ref="AK1:AL1"/>
    <mergeCell ref="BI1:BJ1"/>
    <mergeCell ref="BK1:BL1"/>
    <mergeCell ref="BM1:BN1"/>
    <mergeCell ref="AY2:AZ2"/>
    <mergeCell ref="BA2:BB2"/>
    <mergeCell ref="BC2:BD2"/>
    <mergeCell ref="BE2:BF2"/>
    <mergeCell ref="BG2:BH2"/>
    <mergeCell ref="BI2:BJ2"/>
    <mergeCell ref="BK2:BL2"/>
    <mergeCell ref="BM2:BN2"/>
    <mergeCell ref="AY1:AZ1"/>
    <mergeCell ref="BA1:BB1"/>
    <mergeCell ref="BC1:BD1"/>
    <mergeCell ref="BE1:BF1"/>
    <mergeCell ref="BG1:BH1"/>
    <mergeCell ref="BF33:BG33"/>
    <mergeCell ref="BH33:CE34"/>
    <mergeCell ref="AU34:AV34"/>
    <mergeCell ref="AW34:AX34"/>
    <mergeCell ref="AY34:AZ34"/>
    <mergeCell ref="BA34:BB34"/>
    <mergeCell ref="BC34:BE34"/>
    <mergeCell ref="BF34:BG34"/>
    <mergeCell ref="AU33:AV33"/>
    <mergeCell ref="AW33:AX33"/>
    <mergeCell ref="AY33:AZ33"/>
    <mergeCell ref="BA33:BB33"/>
    <mergeCell ref="BC33:BE33"/>
    <mergeCell ref="BF35:BG35"/>
    <mergeCell ref="BH35:CE37"/>
    <mergeCell ref="AU36:AV36"/>
    <mergeCell ref="AW36:AX36"/>
    <mergeCell ref="AY36:AZ36"/>
    <mergeCell ref="BA36:BB36"/>
    <mergeCell ref="BC36:BE36"/>
    <mergeCell ref="BF36:BG36"/>
    <mergeCell ref="AU37:AV37"/>
    <mergeCell ref="AW37:AX37"/>
    <mergeCell ref="AY37:AZ37"/>
    <mergeCell ref="BA37:BB37"/>
    <mergeCell ref="BC37:BE37"/>
    <mergeCell ref="BF37:BG37"/>
    <mergeCell ref="AU35:AV35"/>
    <mergeCell ref="AW35:AX35"/>
    <mergeCell ref="AY35:AZ35"/>
    <mergeCell ref="BA35:BB35"/>
    <mergeCell ref="BC35:BE35"/>
    <mergeCell ref="CB38:CE38"/>
    <mergeCell ref="AU39:AX39"/>
    <mergeCell ref="AY39:BB39"/>
    <mergeCell ref="BC39:BE39"/>
    <mergeCell ref="BF39:BG39"/>
    <mergeCell ref="BV39:BX40"/>
    <mergeCell ref="BY39:CA40"/>
    <mergeCell ref="CB39:CE40"/>
    <mergeCell ref="AU40:AX40"/>
    <mergeCell ref="AY40:BB40"/>
    <mergeCell ref="BC40:BE40"/>
    <mergeCell ref="BF40:BG40"/>
    <mergeCell ref="AU38:AX38"/>
    <mergeCell ref="AY38:BB38"/>
    <mergeCell ref="BC38:BE38"/>
    <mergeCell ref="BF38:BG38"/>
    <mergeCell ref="BH38:BU40"/>
    <mergeCell ref="C27:C31"/>
    <mergeCell ref="D27:D31"/>
    <mergeCell ref="C32:C38"/>
    <mergeCell ref="D32:D38"/>
    <mergeCell ref="C39:C43"/>
    <mergeCell ref="D39:D43"/>
    <mergeCell ref="C24:C26"/>
    <mergeCell ref="D24:D26"/>
    <mergeCell ref="BV41:CE43"/>
    <mergeCell ref="AU42:AX42"/>
    <mergeCell ref="AY42:BB42"/>
    <mergeCell ref="BC42:BE42"/>
    <mergeCell ref="BF42:BG42"/>
    <mergeCell ref="AU43:AX43"/>
    <mergeCell ref="AY43:BB43"/>
    <mergeCell ref="BC43:BE43"/>
    <mergeCell ref="BF43:BG43"/>
    <mergeCell ref="AU41:AX41"/>
    <mergeCell ref="AY41:BB41"/>
    <mergeCell ref="BC41:BE41"/>
    <mergeCell ref="BF41:BG41"/>
    <mergeCell ref="BH41:BU43"/>
    <mergeCell ref="BV38:BX38"/>
    <mergeCell ref="BY38:CA38"/>
    <mergeCell ref="AG6:AH6"/>
    <mergeCell ref="AM6:AN6"/>
    <mergeCell ref="AO6:AP6"/>
    <mergeCell ref="AQ6:AR6"/>
    <mergeCell ref="AS6:AT6"/>
    <mergeCell ref="AU6:AV6"/>
    <mergeCell ref="AW6:AX6"/>
    <mergeCell ref="AG7:AH7"/>
    <mergeCell ref="AM7:AN7"/>
    <mergeCell ref="AO7:AP7"/>
    <mergeCell ref="AQ7:AR7"/>
    <mergeCell ref="AS7:AT7"/>
    <mergeCell ref="AU7:AV7"/>
    <mergeCell ref="AW7:AX7"/>
    <mergeCell ref="AI7:AJ7"/>
    <mergeCell ref="AK7:AL7"/>
    <mergeCell ref="AI6:AJ6"/>
    <mergeCell ref="AK6:AL6"/>
    <mergeCell ref="AG8:AH8"/>
    <mergeCell ref="AM8:AN8"/>
    <mergeCell ref="AO8:AP8"/>
    <mergeCell ref="AQ8:AR8"/>
    <mergeCell ref="AS8:AT8"/>
    <mergeCell ref="AU8:AV8"/>
    <mergeCell ref="AW8:AX8"/>
    <mergeCell ref="AY8:AZ8"/>
    <mergeCell ref="AI8:AJ8"/>
    <mergeCell ref="AK8:AL8"/>
    <mergeCell ref="AG5:AH5"/>
    <mergeCell ref="AM5:AN5"/>
    <mergeCell ref="AO5:AP5"/>
    <mergeCell ref="AQ5:AR5"/>
    <mergeCell ref="AS5:AT5"/>
    <mergeCell ref="AU5:AV5"/>
    <mergeCell ref="AW5:AX5"/>
    <mergeCell ref="AY5:AZ5"/>
    <mergeCell ref="BA5:BB5"/>
    <mergeCell ref="BM6:BU6"/>
    <mergeCell ref="BM7:BU7"/>
    <mergeCell ref="AM3:BL4"/>
    <mergeCell ref="BC5:BD5"/>
    <mergeCell ref="BE5:BF5"/>
    <mergeCell ref="BG5:BH5"/>
    <mergeCell ref="BI5:BJ5"/>
    <mergeCell ref="BK5:BL5"/>
    <mergeCell ref="AY6:AZ6"/>
    <mergeCell ref="AY7:AZ7"/>
    <mergeCell ref="BA6:BB6"/>
    <mergeCell ref="BC6:BD6"/>
    <mergeCell ref="BE6:BF6"/>
    <mergeCell ref="BG6:BH6"/>
    <mergeCell ref="BI6:BJ6"/>
    <mergeCell ref="BK6:BL6"/>
    <mergeCell ref="BA7:BB7"/>
    <mergeCell ref="BC7:BD7"/>
    <mergeCell ref="BE7:BF7"/>
    <mergeCell ref="BG7:BH7"/>
    <mergeCell ref="BI7:BJ7"/>
    <mergeCell ref="BK7:BL7"/>
    <mergeCell ref="BO1:BP1"/>
    <mergeCell ref="BQ1:BR1"/>
    <mergeCell ref="BS1:BT1"/>
    <mergeCell ref="BU1:BV1"/>
    <mergeCell ref="BO2:BP2"/>
    <mergeCell ref="BQ2:BR2"/>
    <mergeCell ref="BS2:BT2"/>
    <mergeCell ref="BU2:BV2"/>
    <mergeCell ref="BM3:BU5"/>
    <mergeCell ref="BA8:BB8"/>
    <mergeCell ref="BC8:BD8"/>
    <mergeCell ref="BE8:BF8"/>
    <mergeCell ref="BG8:BH8"/>
    <mergeCell ref="BI8:BJ8"/>
    <mergeCell ref="BK8:BL8"/>
    <mergeCell ref="BC9:BD9"/>
    <mergeCell ref="BM8:BU8"/>
    <mergeCell ref="BM9:BU9"/>
    <mergeCell ref="AI14:AJ14"/>
    <mergeCell ref="AK14:AL14"/>
    <mergeCell ref="F10:Z10"/>
    <mergeCell ref="F11:Z11"/>
    <mergeCell ref="F12:Z12"/>
    <mergeCell ref="F13:Z13"/>
    <mergeCell ref="AE14:AF14"/>
    <mergeCell ref="AG14:AH14"/>
    <mergeCell ref="AM14:AN14"/>
    <mergeCell ref="AA12:AB12"/>
    <mergeCell ref="AC12:AD12"/>
    <mergeCell ref="AA13:AB13"/>
    <mergeCell ref="AC13:AD13"/>
    <mergeCell ref="AI13:AJ13"/>
    <mergeCell ref="AK13:AL13"/>
    <mergeCell ref="AA14:AB14"/>
    <mergeCell ref="AC14:AD14"/>
    <mergeCell ref="E14:Z14"/>
    <mergeCell ref="AE13:AF13"/>
    <mergeCell ref="AG13:AH13"/>
    <mergeCell ref="AM13:AN13"/>
    <mergeCell ref="AE10:AF10"/>
    <mergeCell ref="AG10:AH10"/>
    <mergeCell ref="AM10:AN10"/>
    <mergeCell ref="BA13:BB13"/>
    <mergeCell ref="BC13:BD13"/>
    <mergeCell ref="BE13:BF13"/>
    <mergeCell ref="BG13:BH13"/>
    <mergeCell ref="BI13:BJ13"/>
    <mergeCell ref="BK13:BL13"/>
    <mergeCell ref="AO14:AP14"/>
    <mergeCell ref="AQ14:AR14"/>
    <mergeCell ref="AS14:AT14"/>
    <mergeCell ref="AU14:AV14"/>
    <mergeCell ref="AW14:AX14"/>
    <mergeCell ref="AY14:AZ14"/>
    <mergeCell ref="BA14:BB14"/>
    <mergeCell ref="BC14:BD14"/>
    <mergeCell ref="AO13:AP13"/>
    <mergeCell ref="AQ13:AR13"/>
    <mergeCell ref="AS13:AT13"/>
    <mergeCell ref="AU13:AV13"/>
    <mergeCell ref="AW13:AX13"/>
    <mergeCell ref="AY13:AZ13"/>
    <mergeCell ref="BE14:BF14"/>
    <mergeCell ref="BG14:BH14"/>
    <mergeCell ref="BI14:BJ14"/>
    <mergeCell ref="BK14:BL14"/>
    <mergeCell ref="BI9:BJ9"/>
    <mergeCell ref="BK9:BL9"/>
    <mergeCell ref="AU9:AV9"/>
    <mergeCell ref="AW9:AX9"/>
    <mergeCell ref="AC9:AD9"/>
    <mergeCell ref="AY9:AZ9"/>
    <mergeCell ref="BA9:BB9"/>
    <mergeCell ref="AE11:AF11"/>
    <mergeCell ref="AG11:AH11"/>
    <mergeCell ref="AM11:AN11"/>
    <mergeCell ref="AO11:AP11"/>
    <mergeCell ref="AQ11:AR11"/>
    <mergeCell ref="AS11:AT11"/>
    <mergeCell ref="AG9:AH9"/>
    <mergeCell ref="AM9:AN9"/>
    <mergeCell ref="AO9:AP9"/>
    <mergeCell ref="AQ9:AR9"/>
    <mergeCell ref="AS9:AT9"/>
    <mergeCell ref="F9:Z9"/>
    <mergeCell ref="AE9:AF9"/>
    <mergeCell ref="BE9:BF9"/>
    <mergeCell ref="BG9:BH9"/>
    <mergeCell ref="AU11:AV11"/>
    <mergeCell ref="AW11:AX11"/>
    <mergeCell ref="AY11:AZ11"/>
    <mergeCell ref="BA11:BB11"/>
    <mergeCell ref="BE12:BF12"/>
    <mergeCell ref="BG12:BH12"/>
    <mergeCell ref="BI12:BJ12"/>
    <mergeCell ref="BK12:BL12"/>
    <mergeCell ref="AI12:AJ12"/>
    <mergeCell ref="AK12:AL12"/>
    <mergeCell ref="BI11:BJ11"/>
    <mergeCell ref="BK11:BL11"/>
    <mergeCell ref="BG10:BH10"/>
    <mergeCell ref="BI10:BJ10"/>
    <mergeCell ref="BK10:BL10"/>
    <mergeCell ref="BC11:BD11"/>
    <mergeCell ref="BE11:BF11"/>
    <mergeCell ref="BG11:BH11"/>
    <mergeCell ref="AM12:AN12"/>
    <mergeCell ref="AO12:AP12"/>
    <mergeCell ref="AQ12:AR12"/>
    <mergeCell ref="AS12:AT12"/>
    <mergeCell ref="AU12:AV12"/>
    <mergeCell ref="AW12:AX12"/>
    <mergeCell ref="AY12:AZ12"/>
    <mergeCell ref="BA12:BB12"/>
    <mergeCell ref="BC12:BD12"/>
    <mergeCell ref="AO10:AP10"/>
    <mergeCell ref="AQ10:AR10"/>
    <mergeCell ref="AS10:AT10"/>
    <mergeCell ref="AU10:AV10"/>
    <mergeCell ref="AW10:AX10"/>
    <mergeCell ref="AY10:AZ10"/>
    <mergeCell ref="BA10:BB10"/>
    <mergeCell ref="BC10:BD10"/>
    <mergeCell ref="BE10:BF10"/>
    <mergeCell ref="BO19:BP19"/>
    <mergeCell ref="AO19:AP19"/>
    <mergeCell ref="AQ19:AR19"/>
    <mergeCell ref="AS19:AT19"/>
    <mergeCell ref="AU19:AV19"/>
    <mergeCell ref="AW19:AX19"/>
    <mergeCell ref="AY19:AZ19"/>
    <mergeCell ref="BA19:BB19"/>
    <mergeCell ref="BC19:BD19"/>
    <mergeCell ref="BE19:BF19"/>
    <mergeCell ref="BG19:BH19"/>
    <mergeCell ref="BI19:BJ19"/>
    <mergeCell ref="BK19:BL19"/>
    <mergeCell ref="BM19:BN19"/>
    <mergeCell ref="AE12:AF12"/>
    <mergeCell ref="AG12:AH12"/>
    <mergeCell ref="BM10:BU10"/>
    <mergeCell ref="BM11:BU11"/>
    <mergeCell ref="BM12:BU12"/>
    <mergeCell ref="BM13:BU13"/>
    <mergeCell ref="BM14:BU14"/>
    <mergeCell ref="AA3:AB4"/>
    <mergeCell ref="AC3:AD4"/>
    <mergeCell ref="AG3:AL4"/>
    <mergeCell ref="AI9:AJ9"/>
    <mergeCell ref="AK9:AL9"/>
    <mergeCell ref="AA10:AB10"/>
    <mergeCell ref="AC10:AD10"/>
    <mergeCell ref="AI10:AJ10"/>
    <mergeCell ref="AK10:AL10"/>
    <mergeCell ref="AA11:AB11"/>
    <mergeCell ref="AC11:AD11"/>
    <mergeCell ref="AI11:AJ11"/>
    <mergeCell ref="AK11:AL11"/>
    <mergeCell ref="AI5:AJ5"/>
    <mergeCell ref="AK5:AL5"/>
    <mergeCell ref="AA6:AB6"/>
    <mergeCell ref="AC6:AD6"/>
  </mergeCells>
  <dataValidations count="3">
    <dataValidation type="list" allowBlank="1" showInputMessage="1" showErrorMessage="1" sqref="AC5 AA5 AE5 AG5 AI5 AK5 AM5 BC5 BE5 BG5 BI5 BK5 AO5 AQ5 AS5 AU5 AW5 AY5 BA5">
      <formula1>INDIRECT(AA2)</formula1>
    </dataValidation>
    <dataValidation type="list" allowBlank="1" showInputMessage="1" showErrorMessage="1" sqref="AA2 AI2 AM2 AK2 AC2 AE2 AG2 AO2 AQ2 AS2 AU2 AW2 AY2 BA2 BC2 BE2 BG2 BI2 BK2 BM2 BO2 BQ2 BS2 BU2">
      <formula1>Жилы</formula1>
    </dataValidation>
    <dataValidation type="list" allowBlank="1" showInputMessage="1" showErrorMessage="1" sqref="AA1 AG1 AE1 AI1 AQ1 BU1 AK1 AC1 BS1 AS1 AU1 AW1 AY1 BA1 BC1 BE1 BG1 BI1 BK1 BM1 BO1 BQ1 AM1 AO1">
      <formula1>Тип</formula1>
    </dataValidation>
  </dataValidations>
  <pageMargins left="0.19685039370078741" right="0.19685039370078741" top="0.19685039370078741" bottom="0.19685039370078741" header="0.31496062992125984" footer="0.31496062992125984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СкрытьОтобразить">
                <anchor moveWithCells="1" sizeWithCells="1">
                  <from>
                    <xdr:col>83</xdr:col>
                    <xdr:colOff>47625</xdr:colOff>
                    <xdr:row>2</xdr:row>
                    <xdr:rowOff>19050</xdr:rowOff>
                  </from>
                  <to>
                    <xdr:col>90</xdr:col>
                    <xdr:colOff>47625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BF32"/>
  <sheetViews>
    <sheetView view="pageLayout" topLeftCell="A3" zoomScaleNormal="100" workbookViewId="0">
      <selection activeCell="W13" sqref="W13"/>
    </sheetView>
  </sheetViews>
  <sheetFormatPr defaultColWidth="9.140625" defaultRowHeight="15" x14ac:dyDescent="0.25"/>
  <cols>
    <col min="1" max="4" width="2.42578125" customWidth="1"/>
    <col min="5" max="5" width="4.85546875" customWidth="1"/>
    <col min="6" max="79" width="2.42578125" customWidth="1"/>
  </cols>
  <sheetData>
    <row r="1" spans="1:58" ht="56.25" hidden="1" customHeight="1" x14ac:dyDescent="0.25">
      <c r="AA1" s="311" t="s">
        <v>14</v>
      </c>
      <c r="AB1" s="312"/>
      <c r="AC1" s="311" t="s">
        <v>13</v>
      </c>
      <c r="AD1" s="312"/>
      <c r="AE1" s="311" t="s">
        <v>13</v>
      </c>
      <c r="AF1" s="312"/>
      <c r="AG1" s="311" t="s">
        <v>13</v>
      </c>
      <c r="AH1" s="312"/>
      <c r="AI1" s="311" t="s">
        <v>13</v>
      </c>
      <c r="AJ1" s="312"/>
      <c r="AK1" s="311" t="s">
        <v>13</v>
      </c>
      <c r="AL1" s="312"/>
      <c r="AM1" s="311" t="s">
        <v>13</v>
      </c>
      <c r="AN1" s="312"/>
      <c r="AO1" s="311" t="s">
        <v>13</v>
      </c>
      <c r="AP1" s="312"/>
      <c r="AQ1" s="311" t="s">
        <v>13</v>
      </c>
      <c r="AR1" s="312"/>
      <c r="AS1" s="311" t="s">
        <v>13</v>
      </c>
      <c r="AT1" s="312"/>
      <c r="AU1" s="311" t="s">
        <v>13</v>
      </c>
      <c r="AV1" s="312"/>
      <c r="AW1" s="311" t="s">
        <v>13</v>
      </c>
      <c r="AX1" s="312"/>
      <c r="AY1" s="311" t="s">
        <v>13</v>
      </c>
      <c r="AZ1" s="312"/>
    </row>
    <row r="2" spans="1:58" ht="56.25" hidden="1" customHeight="1" thickBot="1" x14ac:dyDescent="0.3">
      <c r="AA2" s="313" t="s">
        <v>8</v>
      </c>
      <c r="AB2" s="314"/>
      <c r="AC2" s="313" t="s">
        <v>11</v>
      </c>
      <c r="AD2" s="314"/>
      <c r="AE2" s="313" t="s">
        <v>11</v>
      </c>
      <c r="AF2" s="314"/>
      <c r="AG2" s="313" t="s">
        <v>11</v>
      </c>
      <c r="AH2" s="314"/>
      <c r="AI2" s="313" t="s">
        <v>11</v>
      </c>
      <c r="AJ2" s="314"/>
      <c r="AK2" s="313" t="s">
        <v>11</v>
      </c>
      <c r="AL2" s="314"/>
      <c r="AM2" s="313" t="s">
        <v>11</v>
      </c>
      <c r="AN2" s="314"/>
      <c r="AO2" s="313" t="s">
        <v>11</v>
      </c>
      <c r="AP2" s="314"/>
      <c r="AQ2" s="313" t="s">
        <v>11</v>
      </c>
      <c r="AR2" s="314"/>
      <c r="AS2" s="313" t="s">
        <v>11</v>
      </c>
      <c r="AT2" s="314"/>
      <c r="AU2" s="313" t="s">
        <v>11</v>
      </c>
      <c r="AV2" s="314"/>
      <c r="AW2" s="313" t="s">
        <v>11</v>
      </c>
      <c r="AX2" s="314"/>
      <c r="AY2" s="313" t="s">
        <v>11</v>
      </c>
      <c r="AZ2" s="314"/>
    </row>
    <row r="3" spans="1:58" ht="16.5" customHeight="1" x14ac:dyDescent="0.25">
      <c r="A3" s="55"/>
      <c r="B3" s="55"/>
      <c r="C3" s="55"/>
      <c r="D3" s="55"/>
      <c r="E3" s="412" t="s">
        <v>15</v>
      </c>
      <c r="F3" s="413" t="s">
        <v>16</v>
      </c>
      <c r="G3" s="414"/>
      <c r="H3" s="414"/>
      <c r="I3" s="414"/>
      <c r="J3" s="414"/>
      <c r="K3" s="414"/>
      <c r="L3" s="414"/>
      <c r="M3" s="414"/>
      <c r="N3" s="414"/>
      <c r="O3" s="414"/>
      <c r="P3" s="414"/>
      <c r="Q3" s="414"/>
      <c r="R3" s="414"/>
      <c r="S3" s="414"/>
      <c r="T3" s="414"/>
      <c r="U3" s="414"/>
      <c r="V3" s="414"/>
      <c r="W3" s="414"/>
      <c r="X3" s="414"/>
      <c r="Y3" s="414"/>
      <c r="Z3" s="415"/>
      <c r="AA3" s="412" t="s">
        <v>19</v>
      </c>
      <c r="AB3" s="412"/>
      <c r="AC3" s="412"/>
      <c r="AD3" s="412"/>
      <c r="AE3" s="412"/>
      <c r="AF3" s="412"/>
      <c r="AG3" s="36"/>
      <c r="AH3" s="36"/>
      <c r="AI3" s="36"/>
      <c r="AJ3" s="36"/>
      <c r="AK3" s="36"/>
      <c r="AL3" s="36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3"/>
    </row>
    <row r="4" spans="1:58" ht="15" customHeight="1" x14ac:dyDescent="0.25">
      <c r="A4" s="22"/>
      <c r="B4" s="22"/>
      <c r="C4" s="22"/>
      <c r="D4" s="22"/>
      <c r="E4" s="404"/>
      <c r="F4" s="416"/>
      <c r="G4" s="417"/>
      <c r="H4" s="417"/>
      <c r="I4" s="417"/>
      <c r="J4" s="417"/>
      <c r="K4" s="417"/>
      <c r="L4" s="417"/>
      <c r="M4" s="417"/>
      <c r="N4" s="417"/>
      <c r="O4" s="417"/>
      <c r="P4" s="417"/>
      <c r="Q4" s="417"/>
      <c r="R4" s="417"/>
      <c r="S4" s="417"/>
      <c r="T4" s="417"/>
      <c r="U4" s="417"/>
      <c r="V4" s="417"/>
      <c r="W4" s="417"/>
      <c r="X4" s="417"/>
      <c r="Y4" s="417"/>
      <c r="Z4" s="418"/>
      <c r="AA4" s="404"/>
      <c r="AB4" s="404"/>
      <c r="AC4" s="404"/>
      <c r="AD4" s="404"/>
      <c r="AE4" s="404"/>
      <c r="AF4" s="404"/>
      <c r="AG4" s="24"/>
      <c r="AH4" s="23"/>
      <c r="AI4" s="23"/>
      <c r="AJ4" s="23"/>
      <c r="AK4" s="23"/>
      <c r="AL4" s="23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5"/>
    </row>
    <row r="5" spans="1:58" ht="39.950000000000003" customHeight="1" x14ac:dyDescent="0.25">
      <c r="A5" s="22"/>
      <c r="B5" s="22"/>
      <c r="C5" s="22"/>
      <c r="D5" s="22"/>
      <c r="E5" s="404"/>
      <c r="F5" s="419"/>
      <c r="G5" s="420"/>
      <c r="H5" s="420"/>
      <c r="I5" s="420"/>
      <c r="J5" s="420"/>
      <c r="K5" s="420"/>
      <c r="L5" s="420"/>
      <c r="M5" s="420"/>
      <c r="N5" s="420"/>
      <c r="O5" s="420"/>
      <c r="P5" s="420"/>
      <c r="Q5" s="420"/>
      <c r="R5" s="420"/>
      <c r="S5" s="420"/>
      <c r="T5" s="420"/>
      <c r="U5" s="420"/>
      <c r="V5" s="420"/>
      <c r="W5" s="420"/>
      <c r="X5" s="420"/>
      <c r="Y5" s="420"/>
      <c r="Z5" s="421"/>
      <c r="AA5" s="422" t="s">
        <v>17</v>
      </c>
      <c r="AB5" s="422"/>
      <c r="AC5" s="422" t="s">
        <v>45</v>
      </c>
      <c r="AD5" s="422"/>
      <c r="AE5" s="422" t="s">
        <v>46</v>
      </c>
      <c r="AF5" s="422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5"/>
    </row>
    <row r="6" spans="1:58" ht="22.5" customHeight="1" x14ac:dyDescent="0.25">
      <c r="A6" s="22"/>
      <c r="B6" s="22"/>
      <c r="C6" s="22"/>
      <c r="D6" s="22"/>
      <c r="E6" s="51">
        <v>1</v>
      </c>
      <c r="F6" s="401" t="str">
        <f>Содержание!G5</f>
        <v>Наружное освещение</v>
      </c>
      <c r="G6" s="402"/>
      <c r="H6" s="402"/>
      <c r="I6" s="402"/>
      <c r="J6" s="402"/>
      <c r="K6" s="402"/>
      <c r="L6" s="402"/>
      <c r="M6" s="402"/>
      <c r="N6" s="402"/>
      <c r="O6" s="402"/>
      <c r="P6" s="402"/>
      <c r="Q6" s="402"/>
      <c r="R6" s="402"/>
      <c r="S6" s="402"/>
      <c r="T6" s="402"/>
      <c r="U6" s="402"/>
      <c r="V6" s="402"/>
      <c r="W6" s="402"/>
      <c r="X6" s="402"/>
      <c r="Y6" s="402"/>
      <c r="Z6" s="403"/>
      <c r="AA6" s="404" t="str">
        <f>IFERROR(GETPIVOTDATA("Длинна кабеля",'Сводная таблица'!$B$2,"Раздел",$F6,"Тип",AA$1,"Число и сечение жил",AA$5),"")</f>
        <v/>
      </c>
      <c r="AB6" s="404"/>
      <c r="AC6" s="404" t="str">
        <f>IFERROR(GETPIVOTDATA("Длинна кабеля",'Сводная таблица'!$B$2,"Раздел",$F6,"Тип",AC$1,"Число и сечение жил",AC$5),"")</f>
        <v/>
      </c>
      <c r="AD6" s="404"/>
      <c r="AE6" s="404" t="str">
        <f>IFERROR(GETPIVOTDATA("Длинна кабеля",'Сводная таблица'!$B$2,"Раздел",$F6,"Тип",AE$1,"Число и сечение жил",AE$5),"")</f>
        <v/>
      </c>
      <c r="AF6" s="404"/>
      <c r="AG6" s="23" t="str">
        <f>IFERROR(GETPIVOTDATA("Длинна кабеля",'Сводная таблица'!$B$2,"Раздел",$F6,"Тип",AG$1,"Число и сечение жил",AG$5),"")</f>
        <v/>
      </c>
      <c r="AH6" s="23"/>
      <c r="AI6" s="23" t="str">
        <f>IFERROR(GETPIVOTDATA("Длинна кабеля",'Сводная таблица'!$B$2,"Раздел",$F6,"Тип",AI$1,"Число и сечение жил",AI$5),"")</f>
        <v/>
      </c>
      <c r="AJ6" s="23"/>
      <c r="AK6" s="23" t="str">
        <f>IFERROR(GETPIVOTDATA("Длинна кабеля",'Сводная таблица'!$B$2,"Раздел",$F6,"Тип",AK$1,"Число и сечение жил",AK$5),"")</f>
        <v/>
      </c>
      <c r="AL6" s="23"/>
      <c r="AM6" s="23"/>
      <c r="AN6" s="23"/>
      <c r="AO6" s="23"/>
      <c r="AP6" s="23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5"/>
    </row>
    <row r="7" spans="1:58" ht="22.5" customHeight="1" x14ac:dyDescent="0.25">
      <c r="A7" s="22"/>
      <c r="B7" s="22"/>
      <c r="C7" s="22"/>
      <c r="D7" s="22"/>
      <c r="E7" s="51">
        <v>2</v>
      </c>
      <c r="F7" s="401" t="str">
        <f>Содержание!G7</f>
        <v>Установка трансформаторов собственных нужд</v>
      </c>
      <c r="G7" s="402"/>
      <c r="H7" s="402"/>
      <c r="I7" s="402"/>
      <c r="J7" s="402"/>
      <c r="K7" s="402"/>
      <c r="L7" s="402"/>
      <c r="M7" s="402"/>
      <c r="N7" s="402"/>
      <c r="O7" s="402"/>
      <c r="P7" s="402"/>
      <c r="Q7" s="402"/>
      <c r="R7" s="402"/>
      <c r="S7" s="402"/>
      <c r="T7" s="402"/>
      <c r="U7" s="402"/>
      <c r="V7" s="402"/>
      <c r="W7" s="402"/>
      <c r="X7" s="402"/>
      <c r="Y7" s="402"/>
      <c r="Z7" s="403"/>
      <c r="AA7" s="404" t="str">
        <f>IFERROR(GETPIVOTDATA("Длинна кабеля",'Сводная таблица'!$B$2,"Раздел",$F7,"Тип",AA$1,"Число и сечение жил",AA$5),"")</f>
        <v/>
      </c>
      <c r="AB7" s="404"/>
      <c r="AC7" s="404" t="str">
        <f>IFERROR(GETPIVOTDATA("Длинна кабеля",'Сводная таблица'!$B$2,"Раздел",$F7,"Тип",AC$1,"Число и сечение жил",AC$5),"")</f>
        <v/>
      </c>
      <c r="AD7" s="404"/>
      <c r="AE7" s="404" t="str">
        <f>IFERROR(GETPIVOTDATA("Длинна кабеля",'Сводная таблица'!$B$2,"Раздел",$F7,"Тип",AE$1,"Число и сечение жил",AE$5),"")</f>
        <v/>
      </c>
      <c r="AF7" s="404"/>
      <c r="AG7" s="23" t="str">
        <f>IFERROR(GETPIVOTDATA("Длинна кабеля",'Сводная таблица'!$B$2,"Раздел",$F7,"Тип",AG$1,"Число и сечение жил",AG$5),"")</f>
        <v/>
      </c>
      <c r="AH7" s="23"/>
      <c r="AI7" s="23" t="str">
        <f>IFERROR(GETPIVOTDATA("Длинна кабеля",'Сводная таблица'!$B$2,"Раздел",$F7,"Тип",AI$1,"Число и сечение жил",AI$5),"")</f>
        <v/>
      </c>
      <c r="AJ7" s="23"/>
      <c r="AK7" s="23" t="str">
        <f>IFERROR(GETPIVOTDATA("Длинна кабеля",'Сводная таблица'!$B$2,"Раздел",$F7,"Тип",AK$1,"Число и сечение жил",AK$5),"")</f>
        <v/>
      </c>
      <c r="AL7" s="23"/>
      <c r="AM7" s="23"/>
      <c r="AN7" s="23"/>
      <c r="AO7" s="23"/>
      <c r="AP7" s="23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5"/>
    </row>
    <row r="8" spans="1:58" ht="22.5" customHeight="1" thickBot="1" x14ac:dyDescent="0.3">
      <c r="A8" s="22"/>
      <c r="B8" s="22"/>
      <c r="C8" s="22"/>
      <c r="D8" s="22"/>
      <c r="E8" s="51">
        <v>3</v>
      </c>
      <c r="F8" s="409"/>
      <c r="G8" s="410"/>
      <c r="H8" s="410"/>
      <c r="I8" s="410"/>
      <c r="J8" s="410"/>
      <c r="K8" s="410"/>
      <c r="L8" s="410"/>
      <c r="M8" s="410"/>
      <c r="N8" s="410"/>
      <c r="O8" s="410"/>
      <c r="P8" s="410"/>
      <c r="Q8" s="410"/>
      <c r="R8" s="410"/>
      <c r="S8" s="410"/>
      <c r="T8" s="410"/>
      <c r="U8" s="410"/>
      <c r="V8" s="410"/>
      <c r="W8" s="410"/>
      <c r="X8" s="410"/>
      <c r="Y8" s="410"/>
      <c r="Z8" s="411"/>
      <c r="AA8" s="400"/>
      <c r="AB8" s="400"/>
      <c r="AC8" s="400"/>
      <c r="AD8" s="400"/>
      <c r="AE8" s="400"/>
      <c r="AF8" s="400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5"/>
    </row>
    <row r="9" spans="1:58" ht="22.5" customHeight="1" x14ac:dyDescent="0.25">
      <c r="A9" s="22"/>
      <c r="B9" s="22"/>
      <c r="C9" s="22"/>
      <c r="D9" s="22"/>
      <c r="E9" s="51">
        <v>4</v>
      </c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36"/>
      <c r="AB9" s="36"/>
      <c r="AC9" s="36"/>
      <c r="AD9" s="36"/>
      <c r="AE9" s="36"/>
      <c r="AF9" s="36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5"/>
    </row>
    <row r="10" spans="1:58" ht="22.5" customHeight="1" x14ac:dyDescent="0.25">
      <c r="A10" s="22"/>
      <c r="B10" s="22"/>
      <c r="C10" s="22"/>
      <c r="D10" s="22"/>
      <c r="E10" s="51">
        <v>5</v>
      </c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5"/>
    </row>
    <row r="11" spans="1:58" ht="22.5" customHeight="1" x14ac:dyDescent="0.25">
      <c r="A11" s="22"/>
      <c r="B11" s="22"/>
      <c r="C11" s="22"/>
      <c r="D11" s="22"/>
      <c r="E11" s="51">
        <v>6</v>
      </c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5"/>
    </row>
    <row r="12" spans="1:58" ht="22.5" customHeight="1" thickBot="1" x14ac:dyDescent="0.3">
      <c r="A12" s="22"/>
      <c r="B12" s="22"/>
      <c r="C12" s="22"/>
      <c r="D12" s="22"/>
      <c r="E12" s="51">
        <v>7</v>
      </c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5"/>
    </row>
    <row r="13" spans="1:58" ht="22.5" customHeight="1" x14ac:dyDescent="0.25">
      <c r="A13" s="381" t="s">
        <v>29</v>
      </c>
      <c r="B13" s="57"/>
      <c r="C13" s="58"/>
      <c r="D13" s="59"/>
      <c r="E13" s="51">
        <v>8</v>
      </c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5"/>
    </row>
    <row r="14" spans="1:58" ht="22.5" customHeight="1" x14ac:dyDescent="0.25">
      <c r="A14" s="382"/>
      <c r="B14" s="48"/>
      <c r="C14" s="49"/>
      <c r="D14" s="50"/>
      <c r="E14" s="51">
        <v>9</v>
      </c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5"/>
    </row>
    <row r="15" spans="1:58" ht="22.5" customHeight="1" x14ac:dyDescent="0.25">
      <c r="A15" s="382"/>
      <c r="B15" s="405"/>
      <c r="C15" s="321"/>
      <c r="D15" s="406"/>
      <c r="E15" s="51">
        <v>10</v>
      </c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5"/>
    </row>
    <row r="16" spans="1:58" ht="22.5" customHeight="1" x14ac:dyDescent="0.25">
      <c r="A16" s="382"/>
      <c r="B16" s="405"/>
      <c r="C16" s="321"/>
      <c r="D16" s="406"/>
      <c r="E16" s="51">
        <v>11</v>
      </c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5"/>
    </row>
    <row r="17" spans="1:58" ht="22.5" customHeight="1" x14ac:dyDescent="0.25">
      <c r="A17" s="382"/>
      <c r="B17" s="405"/>
      <c r="C17" s="321"/>
      <c r="D17" s="406"/>
      <c r="E17" s="38">
        <v>12</v>
      </c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5"/>
    </row>
    <row r="18" spans="1:58" ht="22.5" customHeight="1" thickBot="1" x14ac:dyDescent="0.3">
      <c r="A18" s="383"/>
      <c r="B18" s="407"/>
      <c r="C18" s="322"/>
      <c r="D18" s="408"/>
      <c r="E18" s="38">
        <v>13</v>
      </c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5"/>
    </row>
    <row r="19" spans="1:58" ht="22.5" customHeight="1" thickBot="1" x14ac:dyDescent="0.3">
      <c r="A19" s="12"/>
      <c r="B19" s="12"/>
      <c r="C19" s="228" t="s">
        <v>28</v>
      </c>
      <c r="D19" s="398"/>
      <c r="E19" s="38">
        <v>14</v>
      </c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5"/>
    </row>
    <row r="20" spans="1:58" ht="22.5" customHeight="1" thickBot="1" x14ac:dyDescent="0.3">
      <c r="A20" s="12"/>
      <c r="B20" s="12"/>
      <c r="C20" s="319"/>
      <c r="D20" s="320"/>
      <c r="E20" s="38">
        <v>15</v>
      </c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6"/>
    </row>
    <row r="21" spans="1:58" ht="14.1" customHeight="1" thickBot="1" x14ac:dyDescent="0.3">
      <c r="A21" s="12"/>
      <c r="B21" s="12"/>
      <c r="C21" s="319"/>
      <c r="D21" s="320"/>
      <c r="E21" s="54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5"/>
    </row>
    <row r="22" spans="1:58" ht="14.1" customHeight="1" thickBot="1" x14ac:dyDescent="0.3">
      <c r="A22" s="12"/>
      <c r="B22" s="12"/>
      <c r="C22" s="319"/>
      <c r="D22" s="320"/>
      <c r="E22" s="54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399"/>
      <c r="W22" s="399"/>
      <c r="X22" s="399"/>
      <c r="Y22" s="399"/>
      <c r="Z22" s="399"/>
      <c r="AA22" s="399"/>
      <c r="AB22" s="399"/>
      <c r="AC22" s="399"/>
      <c r="AD22" s="399"/>
      <c r="AE22" s="399"/>
      <c r="AF22" s="399"/>
      <c r="AG22" s="399"/>
      <c r="AH22" s="399"/>
      <c r="AI22" s="396" t="str">
        <f>Содержание!AJ29</f>
        <v>29-КМЧ-2015-027-ЭП.С</v>
      </c>
      <c r="AJ22" s="396"/>
      <c r="AK22" s="396"/>
      <c r="AL22" s="396"/>
      <c r="AM22" s="396"/>
      <c r="AN22" s="396"/>
      <c r="AO22" s="396"/>
      <c r="AP22" s="396"/>
      <c r="AQ22" s="396"/>
      <c r="AR22" s="396"/>
      <c r="AS22" s="396"/>
      <c r="AT22" s="396"/>
      <c r="AU22" s="396"/>
      <c r="AV22" s="396"/>
      <c r="AW22" s="396"/>
      <c r="AX22" s="396"/>
      <c r="AY22" s="396"/>
      <c r="AZ22" s="396"/>
      <c r="BA22" s="396"/>
      <c r="BB22" s="396"/>
      <c r="BC22" s="396"/>
      <c r="BD22" s="396"/>
      <c r="BE22" s="396"/>
      <c r="BF22" s="396"/>
    </row>
    <row r="23" spans="1:58" ht="14.1" customHeight="1" thickBot="1" x14ac:dyDescent="0.3">
      <c r="A23" s="12"/>
      <c r="B23" s="12"/>
      <c r="C23" s="319" t="s">
        <v>26</v>
      </c>
      <c r="D23" s="320"/>
      <c r="E23" s="54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397"/>
      <c r="W23" s="397"/>
      <c r="X23" s="397"/>
      <c r="Y23" s="397"/>
      <c r="Z23" s="397"/>
      <c r="AA23" s="397"/>
      <c r="AB23" s="397"/>
      <c r="AC23" s="397"/>
      <c r="AD23" s="397"/>
      <c r="AE23" s="397"/>
      <c r="AF23" s="397"/>
      <c r="AG23" s="397"/>
      <c r="AH23" s="397"/>
      <c r="AI23" s="396"/>
      <c r="AJ23" s="396"/>
      <c r="AK23" s="396"/>
      <c r="AL23" s="396"/>
      <c r="AM23" s="396"/>
      <c r="AN23" s="396"/>
      <c r="AO23" s="396"/>
      <c r="AP23" s="396"/>
      <c r="AQ23" s="396"/>
      <c r="AR23" s="396"/>
      <c r="AS23" s="396"/>
      <c r="AT23" s="396"/>
      <c r="AU23" s="396"/>
      <c r="AV23" s="396"/>
      <c r="AW23" s="396"/>
      <c r="AX23" s="396"/>
      <c r="AY23" s="396"/>
      <c r="AZ23" s="396"/>
      <c r="BA23" s="396"/>
      <c r="BB23" s="396"/>
      <c r="BC23" s="396"/>
      <c r="BD23" s="396"/>
      <c r="BE23" s="396"/>
      <c r="BF23" s="396"/>
    </row>
    <row r="24" spans="1:58" ht="14.1" customHeight="1" thickBot="1" x14ac:dyDescent="0.3">
      <c r="A24" s="12"/>
      <c r="B24" s="12"/>
      <c r="C24" s="319"/>
      <c r="D24" s="320"/>
      <c r="E24" s="54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397"/>
      <c r="W24" s="397"/>
      <c r="X24" s="397"/>
      <c r="Y24" s="397"/>
      <c r="Z24" s="397"/>
      <c r="AA24" s="397"/>
      <c r="AB24" s="397"/>
      <c r="AC24" s="397"/>
      <c r="AD24" s="397"/>
      <c r="AE24" s="397"/>
      <c r="AF24" s="397"/>
      <c r="AG24" s="397"/>
      <c r="AH24" s="397"/>
      <c r="AI24" s="325" t="str">
        <f>Содержание!AJ31</f>
        <v>Выполнение комплекса работ "под ключ" по обеспечению технологического присоединения объектов шифр 3002/Р "Дооборудование пункта хранения, подготовки и выдачи изделий", шифр 720 "Строительство и реконструкция специальных сооружений в/ч 31268" и Объекты социально-бытового назначения администрации Вилючинского городского округа</v>
      </c>
      <c r="AJ24" s="325"/>
      <c r="AK24" s="325"/>
      <c r="AL24" s="325"/>
      <c r="AM24" s="325"/>
      <c r="AN24" s="325"/>
      <c r="AO24" s="325"/>
      <c r="AP24" s="325"/>
      <c r="AQ24" s="325"/>
      <c r="AR24" s="325"/>
      <c r="AS24" s="325"/>
      <c r="AT24" s="325"/>
      <c r="AU24" s="325"/>
      <c r="AV24" s="325"/>
      <c r="AW24" s="325"/>
      <c r="AX24" s="325"/>
      <c r="AY24" s="325"/>
      <c r="AZ24" s="325"/>
      <c r="BA24" s="325"/>
      <c r="BB24" s="325"/>
      <c r="BC24" s="325"/>
      <c r="BD24" s="325"/>
      <c r="BE24" s="325"/>
      <c r="BF24" s="325"/>
    </row>
    <row r="25" spans="1:58" ht="14.1" customHeight="1" thickBot="1" x14ac:dyDescent="0.3">
      <c r="A25" s="12"/>
      <c r="B25" s="12"/>
      <c r="C25" s="319"/>
      <c r="D25" s="320"/>
      <c r="E25" s="54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395"/>
      <c r="W25" s="395"/>
      <c r="X25" s="395"/>
      <c r="Y25" s="395"/>
      <c r="Z25" s="395"/>
      <c r="AA25" s="395"/>
      <c r="AB25" s="395"/>
      <c r="AC25" s="395"/>
      <c r="AD25" s="395"/>
      <c r="AE25" s="395"/>
      <c r="AF25" s="395"/>
      <c r="AG25" s="395"/>
      <c r="AH25" s="395"/>
      <c r="AI25" s="325"/>
      <c r="AJ25" s="325"/>
      <c r="AK25" s="325"/>
      <c r="AL25" s="325"/>
      <c r="AM25" s="325"/>
      <c r="AN25" s="325"/>
      <c r="AO25" s="325"/>
      <c r="AP25" s="325"/>
      <c r="AQ25" s="325"/>
      <c r="AR25" s="325"/>
      <c r="AS25" s="325"/>
      <c r="AT25" s="325"/>
      <c r="AU25" s="325"/>
      <c r="AV25" s="325"/>
      <c r="AW25" s="325"/>
      <c r="AX25" s="325"/>
      <c r="AY25" s="325"/>
      <c r="AZ25" s="325"/>
      <c r="BA25" s="325"/>
      <c r="BB25" s="325"/>
      <c r="BC25" s="325"/>
      <c r="BD25" s="325"/>
      <c r="BE25" s="325"/>
      <c r="BF25" s="325"/>
    </row>
    <row r="26" spans="1:58" ht="14.1" customHeight="1" thickBot="1" x14ac:dyDescent="0.3">
      <c r="A26" s="12"/>
      <c r="B26" s="12"/>
      <c r="C26" s="319"/>
      <c r="D26" s="320"/>
      <c r="E26" s="54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360" t="s">
        <v>25</v>
      </c>
      <c r="W26" s="361"/>
      <c r="X26" s="362" t="s">
        <v>30</v>
      </c>
      <c r="Y26" s="361"/>
      <c r="Z26" s="362" t="s">
        <v>18</v>
      </c>
      <c r="AA26" s="361"/>
      <c r="AB26" s="362" t="s">
        <v>23</v>
      </c>
      <c r="AC26" s="361"/>
      <c r="AD26" s="362" t="s">
        <v>22</v>
      </c>
      <c r="AE26" s="363"/>
      <c r="AF26" s="361"/>
      <c r="AG26" s="362" t="s">
        <v>21</v>
      </c>
      <c r="AH26" s="363"/>
      <c r="AI26" s="325"/>
      <c r="AJ26" s="325"/>
      <c r="AK26" s="325"/>
      <c r="AL26" s="325"/>
      <c r="AM26" s="325"/>
      <c r="AN26" s="325"/>
      <c r="AO26" s="325"/>
      <c r="AP26" s="325"/>
      <c r="AQ26" s="325"/>
      <c r="AR26" s="325"/>
      <c r="AS26" s="325"/>
      <c r="AT26" s="325"/>
      <c r="AU26" s="325"/>
      <c r="AV26" s="325"/>
      <c r="AW26" s="325"/>
      <c r="AX26" s="325"/>
      <c r="AY26" s="325"/>
      <c r="AZ26" s="325"/>
      <c r="BA26" s="325"/>
      <c r="BB26" s="325"/>
      <c r="BC26" s="325"/>
      <c r="BD26" s="325"/>
      <c r="BE26" s="325"/>
      <c r="BF26" s="325"/>
    </row>
    <row r="27" spans="1:58" ht="14.1" customHeight="1" thickBot="1" x14ac:dyDescent="0.3">
      <c r="A27" s="12"/>
      <c r="B27" s="12"/>
      <c r="C27" s="319"/>
      <c r="D27" s="320"/>
      <c r="E27" s="54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391" t="str">
        <f>Содержание!W34</f>
        <v>Разраб.</v>
      </c>
      <c r="W27" s="343"/>
      <c r="X27" s="343"/>
      <c r="Y27" s="392"/>
      <c r="Z27" s="391" t="str">
        <f>Содержание!AA34</f>
        <v>Романов</v>
      </c>
      <c r="AA27" s="343"/>
      <c r="AB27" s="343"/>
      <c r="AC27" s="392"/>
      <c r="AD27" s="393"/>
      <c r="AE27" s="346"/>
      <c r="AF27" s="394"/>
      <c r="AG27" s="346" t="str">
        <f>Содержание!AH34</f>
        <v>02.17</v>
      </c>
      <c r="AH27" s="394"/>
      <c r="AI27" s="325" t="str">
        <f>Содержание!AJ34</f>
        <v>Кабельное хозяйство. 
Электротехнические решения.</v>
      </c>
      <c r="AJ27" s="325"/>
      <c r="AK27" s="325"/>
      <c r="AL27" s="325"/>
      <c r="AM27" s="325"/>
      <c r="AN27" s="325"/>
      <c r="AO27" s="325"/>
      <c r="AP27" s="325"/>
      <c r="AQ27" s="325"/>
      <c r="AR27" s="325"/>
      <c r="AS27" s="325"/>
      <c r="AT27" s="325"/>
      <c r="AU27" s="325"/>
      <c r="AV27" s="325"/>
      <c r="AW27" s="341" t="s">
        <v>31</v>
      </c>
      <c r="AX27" s="341"/>
      <c r="AY27" s="341"/>
      <c r="AZ27" s="341" t="s">
        <v>18</v>
      </c>
      <c r="BA27" s="341"/>
      <c r="BB27" s="341"/>
      <c r="BC27" s="341" t="s">
        <v>32</v>
      </c>
      <c r="BD27" s="341"/>
      <c r="BE27" s="341"/>
      <c r="BF27" s="341"/>
    </row>
    <row r="28" spans="1:58" ht="14.1" customHeight="1" thickBot="1" x14ac:dyDescent="0.3">
      <c r="A28" s="12"/>
      <c r="B28" s="12"/>
      <c r="C28" s="319" t="s">
        <v>27</v>
      </c>
      <c r="D28" s="320"/>
      <c r="E28" s="54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385" t="str">
        <f>Содержание!W35</f>
        <v>Проверил</v>
      </c>
      <c r="W28" s="386"/>
      <c r="X28" s="386"/>
      <c r="Y28" s="387"/>
      <c r="Z28" s="385" t="str">
        <f>Содержание!AA35</f>
        <v>Самуйлов</v>
      </c>
      <c r="AA28" s="386"/>
      <c r="AB28" s="386"/>
      <c r="AC28" s="387"/>
      <c r="AD28" s="388"/>
      <c r="AE28" s="389"/>
      <c r="AF28" s="390"/>
      <c r="AG28" s="388" t="str">
        <f>Содержание!AH35</f>
        <v>02.17</v>
      </c>
      <c r="AH28" s="390"/>
      <c r="AI28" s="325"/>
      <c r="AJ28" s="325"/>
      <c r="AK28" s="325"/>
      <c r="AL28" s="325"/>
      <c r="AM28" s="325"/>
      <c r="AN28" s="325"/>
      <c r="AO28" s="325"/>
      <c r="AP28" s="325"/>
      <c r="AQ28" s="325"/>
      <c r="AR28" s="325"/>
      <c r="AS28" s="325"/>
      <c r="AT28" s="325"/>
      <c r="AU28" s="325"/>
      <c r="AV28" s="325"/>
      <c r="AW28" s="325" t="str">
        <f>Содержание!AX35</f>
        <v>Р</v>
      </c>
      <c r="AX28" s="325"/>
      <c r="AY28" s="325"/>
      <c r="AZ28" s="325">
        <v>4</v>
      </c>
      <c r="BA28" s="325"/>
      <c r="BB28" s="325"/>
      <c r="BC28" s="325">
        <f>Содержание!BD35</f>
        <v>16</v>
      </c>
      <c r="BD28" s="325"/>
      <c r="BE28" s="325"/>
      <c r="BF28" s="325"/>
    </row>
    <row r="29" spans="1:58" ht="14.1" customHeight="1" thickBot="1" x14ac:dyDescent="0.3">
      <c r="A29" s="12"/>
      <c r="B29" s="12"/>
      <c r="C29" s="319"/>
      <c r="D29" s="320"/>
      <c r="E29" s="54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385">
        <f>Содержание!W36</f>
        <v>0</v>
      </c>
      <c r="W29" s="386"/>
      <c r="X29" s="386"/>
      <c r="Y29" s="387"/>
      <c r="Z29" s="385">
        <f>Содержание!AA36</f>
        <v>0</v>
      </c>
      <c r="AA29" s="386"/>
      <c r="AB29" s="386"/>
      <c r="AC29" s="387"/>
      <c r="AD29" s="388"/>
      <c r="AE29" s="389"/>
      <c r="AF29" s="390"/>
      <c r="AG29" s="388">
        <f>Содержание!AH36</f>
        <v>0</v>
      </c>
      <c r="AH29" s="390"/>
      <c r="AI29" s="325"/>
      <c r="AJ29" s="325"/>
      <c r="AK29" s="325"/>
      <c r="AL29" s="325"/>
      <c r="AM29" s="325"/>
      <c r="AN29" s="325"/>
      <c r="AO29" s="325"/>
      <c r="AP29" s="325"/>
      <c r="AQ29" s="325"/>
      <c r="AR29" s="325"/>
      <c r="AS29" s="325"/>
      <c r="AT29" s="325"/>
      <c r="AU29" s="325"/>
      <c r="AV29" s="325"/>
      <c r="AW29" s="325"/>
      <c r="AX29" s="325"/>
      <c r="AY29" s="325"/>
      <c r="AZ29" s="325"/>
      <c r="BA29" s="325"/>
      <c r="BB29" s="325"/>
      <c r="BC29" s="325"/>
      <c r="BD29" s="325"/>
      <c r="BE29" s="325"/>
      <c r="BF29" s="325"/>
    </row>
    <row r="30" spans="1:58" ht="14.1" customHeight="1" thickBot="1" x14ac:dyDescent="0.3">
      <c r="A30" s="12"/>
      <c r="B30" s="12"/>
      <c r="C30" s="319"/>
      <c r="D30" s="320"/>
      <c r="E30" s="54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385" t="str">
        <f>Содержание!W37</f>
        <v>Н.контр.</v>
      </c>
      <c r="W30" s="386"/>
      <c r="X30" s="386"/>
      <c r="Y30" s="387"/>
      <c r="Z30" s="385" t="str">
        <f>Содержание!AA37</f>
        <v>Домнин</v>
      </c>
      <c r="AA30" s="386"/>
      <c r="AB30" s="386"/>
      <c r="AC30" s="387"/>
      <c r="AD30" s="388"/>
      <c r="AE30" s="389"/>
      <c r="AF30" s="390"/>
      <c r="AG30" s="388" t="str">
        <f>Содержание!AH37</f>
        <v>02.17</v>
      </c>
      <c r="AH30" s="390"/>
      <c r="AI30" s="289" t="s">
        <v>56</v>
      </c>
      <c r="AJ30" s="293"/>
      <c r="AK30" s="293"/>
      <c r="AL30" s="293"/>
      <c r="AM30" s="293"/>
      <c r="AN30" s="293"/>
      <c r="AO30" s="293"/>
      <c r="AP30" s="293"/>
      <c r="AQ30" s="293"/>
      <c r="AR30" s="293"/>
      <c r="AS30" s="293"/>
      <c r="AT30" s="293"/>
      <c r="AU30" s="293"/>
      <c r="AV30" s="290"/>
      <c r="AW30" s="341" t="str">
        <f>Содержание!AX37</f>
        <v>ООО "Энергетическое Строительство"</v>
      </c>
      <c r="AX30" s="341"/>
      <c r="AY30" s="341"/>
      <c r="AZ30" s="341"/>
      <c r="BA30" s="341"/>
      <c r="BB30" s="341"/>
      <c r="BC30" s="341"/>
      <c r="BD30" s="341"/>
      <c r="BE30" s="341"/>
      <c r="BF30" s="341"/>
    </row>
    <row r="31" spans="1:58" ht="14.1" customHeight="1" thickBot="1" x14ac:dyDescent="0.3">
      <c r="A31" s="12"/>
      <c r="B31" s="12"/>
      <c r="C31" s="319"/>
      <c r="D31" s="320"/>
      <c r="E31" s="54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385" t="str">
        <f>Содержание!W38</f>
        <v>ГИП</v>
      </c>
      <c r="W31" s="386"/>
      <c r="X31" s="386"/>
      <c r="Y31" s="387"/>
      <c r="Z31" s="329" t="str">
        <f>Содержание!AA38</f>
        <v>Калабин</v>
      </c>
      <c r="AA31" s="330"/>
      <c r="AB31" s="330"/>
      <c r="AC31" s="331"/>
      <c r="AD31" s="388"/>
      <c r="AE31" s="389"/>
      <c r="AF31" s="390"/>
      <c r="AG31" s="388" t="str">
        <f>Содержание!AH38</f>
        <v>02.17</v>
      </c>
      <c r="AH31" s="390"/>
      <c r="AI31" s="315"/>
      <c r="AJ31" s="316"/>
      <c r="AK31" s="316"/>
      <c r="AL31" s="316"/>
      <c r="AM31" s="316"/>
      <c r="AN31" s="316"/>
      <c r="AO31" s="316"/>
      <c r="AP31" s="316"/>
      <c r="AQ31" s="316"/>
      <c r="AR31" s="316"/>
      <c r="AS31" s="316"/>
      <c r="AT31" s="316"/>
      <c r="AU31" s="316"/>
      <c r="AV31" s="317"/>
      <c r="AW31" s="341"/>
      <c r="AX31" s="341"/>
      <c r="AY31" s="341"/>
      <c r="AZ31" s="341"/>
      <c r="BA31" s="341"/>
      <c r="BB31" s="341"/>
      <c r="BC31" s="341"/>
      <c r="BD31" s="341"/>
      <c r="BE31" s="341"/>
      <c r="BF31" s="341"/>
    </row>
    <row r="32" spans="1:58" ht="14.1" customHeight="1" thickBot="1" x14ac:dyDescent="0.3">
      <c r="A32" s="12"/>
      <c r="B32" s="12"/>
      <c r="C32" s="319"/>
      <c r="D32" s="320"/>
      <c r="E32" s="26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335">
        <f>Содержание!W39</f>
        <v>0</v>
      </c>
      <c r="W32" s="336"/>
      <c r="X32" s="336"/>
      <c r="Y32" s="337"/>
      <c r="Z32" s="335">
        <f>Содержание!AA39</f>
        <v>0</v>
      </c>
      <c r="AA32" s="336"/>
      <c r="AB32" s="336"/>
      <c r="AC32" s="337"/>
      <c r="AD32" s="338"/>
      <c r="AE32" s="339"/>
      <c r="AF32" s="340"/>
      <c r="AG32" s="338">
        <f>Содержание!AH39</f>
        <v>0</v>
      </c>
      <c r="AH32" s="340"/>
      <c r="AI32" s="291"/>
      <c r="AJ32" s="294"/>
      <c r="AK32" s="294"/>
      <c r="AL32" s="294"/>
      <c r="AM32" s="294"/>
      <c r="AN32" s="294"/>
      <c r="AO32" s="294"/>
      <c r="AP32" s="294"/>
      <c r="AQ32" s="294"/>
      <c r="AR32" s="294"/>
      <c r="AS32" s="294"/>
      <c r="AT32" s="294"/>
      <c r="AU32" s="294"/>
      <c r="AV32" s="292"/>
      <c r="AW32" s="341"/>
      <c r="AX32" s="341"/>
      <c r="AY32" s="341"/>
      <c r="AZ32" s="341"/>
      <c r="BA32" s="341"/>
      <c r="BB32" s="341"/>
      <c r="BC32" s="341"/>
      <c r="BD32" s="341"/>
      <c r="BE32" s="341"/>
      <c r="BF32" s="341"/>
    </row>
  </sheetData>
  <mergeCells count="122">
    <mergeCell ref="AA1:AB1"/>
    <mergeCell ref="AC1:AD1"/>
    <mergeCell ref="AE1:AF1"/>
    <mergeCell ref="AU2:AV2"/>
    <mergeCell ref="AW2:AX2"/>
    <mergeCell ref="AY2:AZ2"/>
    <mergeCell ref="AG2:AH2"/>
    <mergeCell ref="AI2:AJ2"/>
    <mergeCell ref="AK2:AL2"/>
    <mergeCell ref="AM2:AN2"/>
    <mergeCell ref="AW1:AX1"/>
    <mergeCell ref="AY1:AZ1"/>
    <mergeCell ref="AK1:AL1"/>
    <mergeCell ref="AM1:AN1"/>
    <mergeCell ref="AO1:AP1"/>
    <mergeCell ref="AQ1:AR1"/>
    <mergeCell ref="AS1:AT1"/>
    <mergeCell ref="AU1:AV1"/>
    <mergeCell ref="AG1:AH1"/>
    <mergeCell ref="AI1:AJ1"/>
    <mergeCell ref="E3:E5"/>
    <mergeCell ref="F3:Z5"/>
    <mergeCell ref="AA3:AF4"/>
    <mergeCell ref="AA5:AB5"/>
    <mergeCell ref="AC5:AD5"/>
    <mergeCell ref="AE5:AF5"/>
    <mergeCell ref="AO2:AP2"/>
    <mergeCell ref="AQ2:AR2"/>
    <mergeCell ref="AS2:AT2"/>
    <mergeCell ref="AA2:AB2"/>
    <mergeCell ref="AC2:AD2"/>
    <mergeCell ref="AE2:AF2"/>
    <mergeCell ref="AE8:AF8"/>
    <mergeCell ref="A13:A18"/>
    <mergeCell ref="F6:Z6"/>
    <mergeCell ref="AA6:AB6"/>
    <mergeCell ref="AC6:AD6"/>
    <mergeCell ref="AE6:AF6"/>
    <mergeCell ref="F7:Z7"/>
    <mergeCell ref="AA7:AB7"/>
    <mergeCell ref="AC7:AD7"/>
    <mergeCell ref="AE7:AF7"/>
    <mergeCell ref="B15:B16"/>
    <mergeCell ref="C15:C16"/>
    <mergeCell ref="D15:D16"/>
    <mergeCell ref="B17:B18"/>
    <mergeCell ref="C17:C18"/>
    <mergeCell ref="D17:D18"/>
    <mergeCell ref="F8:Z8"/>
    <mergeCell ref="AA8:AB8"/>
    <mergeCell ref="AC8:AD8"/>
    <mergeCell ref="AI22:BF23"/>
    <mergeCell ref="V23:W23"/>
    <mergeCell ref="X23:Y23"/>
    <mergeCell ref="Z23:AA23"/>
    <mergeCell ref="AB23:AC23"/>
    <mergeCell ref="AD23:AF23"/>
    <mergeCell ref="C19:C22"/>
    <mergeCell ref="D19:D22"/>
    <mergeCell ref="C23:C27"/>
    <mergeCell ref="D23:D27"/>
    <mergeCell ref="V22:W22"/>
    <mergeCell ref="X22:Y22"/>
    <mergeCell ref="AG23:AH23"/>
    <mergeCell ref="V24:W24"/>
    <mergeCell ref="X24:Y24"/>
    <mergeCell ref="Z24:AA24"/>
    <mergeCell ref="AB24:AC24"/>
    <mergeCell ref="AD24:AF24"/>
    <mergeCell ref="AG24:AH24"/>
    <mergeCell ref="Z22:AA22"/>
    <mergeCell ref="AB22:AC22"/>
    <mergeCell ref="AD22:AF22"/>
    <mergeCell ref="AG22:AH22"/>
    <mergeCell ref="AI24:BF26"/>
    <mergeCell ref="V25:W25"/>
    <mergeCell ref="X25:Y25"/>
    <mergeCell ref="Z25:AA25"/>
    <mergeCell ref="AB25:AC25"/>
    <mergeCell ref="AD25:AF25"/>
    <mergeCell ref="AG25:AH25"/>
    <mergeCell ref="V26:W26"/>
    <mergeCell ref="X26:Y26"/>
    <mergeCell ref="Z26:AA26"/>
    <mergeCell ref="AG30:AH30"/>
    <mergeCell ref="C28:C32"/>
    <mergeCell ref="D28:D32"/>
    <mergeCell ref="V28:Y28"/>
    <mergeCell ref="Z28:AC28"/>
    <mergeCell ref="AD28:AF28"/>
    <mergeCell ref="AG28:AH28"/>
    <mergeCell ref="AB26:AC26"/>
    <mergeCell ref="AD26:AF26"/>
    <mergeCell ref="AG26:AH26"/>
    <mergeCell ref="V27:Y27"/>
    <mergeCell ref="Z27:AC27"/>
    <mergeCell ref="AD27:AF27"/>
    <mergeCell ref="AG27:AH27"/>
    <mergeCell ref="AI30:AV32"/>
    <mergeCell ref="AW30:BF32"/>
    <mergeCell ref="V31:Y31"/>
    <mergeCell ref="Z31:AC31"/>
    <mergeCell ref="AD31:AF31"/>
    <mergeCell ref="AG31:AH31"/>
    <mergeCell ref="AW28:AY29"/>
    <mergeCell ref="AZ28:BB29"/>
    <mergeCell ref="BC28:BF29"/>
    <mergeCell ref="V29:Y29"/>
    <mergeCell ref="Z29:AC29"/>
    <mergeCell ref="AD29:AF29"/>
    <mergeCell ref="AG29:AH29"/>
    <mergeCell ref="AI27:AV29"/>
    <mergeCell ref="AW27:AY27"/>
    <mergeCell ref="AZ27:BB27"/>
    <mergeCell ref="BC27:BF27"/>
    <mergeCell ref="V32:Y32"/>
    <mergeCell ref="Z32:AC32"/>
    <mergeCell ref="AD32:AF32"/>
    <mergeCell ref="AG32:AH32"/>
    <mergeCell ref="V30:Y30"/>
    <mergeCell ref="Z30:AC30"/>
    <mergeCell ref="AD30:AF30"/>
  </mergeCells>
  <dataValidations disablePrompts="1" count="3">
    <dataValidation type="list" allowBlank="1" showInputMessage="1" showErrorMessage="1" sqref="AG5 AA5 AC5 AE5 AI5 AK5 AM5 AO5">
      <formula1>INDIRECT(AA2)</formula1>
    </dataValidation>
    <dataValidation type="list" allowBlank="1" showInputMessage="1" showErrorMessage="1" sqref="AY1 AA1 AE1 AC1 AG1 AI1 AK1 AM1 AO1 AQ1 AS1 AU1 AW1">
      <formula1>Тип</formula1>
    </dataValidation>
    <dataValidation type="list" allowBlank="1" showInputMessage="1" showErrorMessage="1" sqref="AY2 AA2 AE2 AC2 AG2 AI2 AK2 AM2 AO2 AQ2 AS2 AU2 AW2">
      <formula1>Жилы</formula1>
    </dataValidation>
  </dataValidations>
  <pageMargins left="0.19685039370078741" right="0.19685039370078741" top="0.19685039370078741" bottom="0.19685039370078741" header="0.31496062992125984" footer="0.31496062992125984"/>
  <pageSetup paperSize="9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S339"/>
  <sheetViews>
    <sheetView tabSelected="1" topLeftCell="B1" zoomScaleNormal="100" workbookViewId="0">
      <selection activeCell="N6" sqref="N6"/>
    </sheetView>
  </sheetViews>
  <sheetFormatPr defaultColWidth="9.140625" defaultRowHeight="13.5" x14ac:dyDescent="0.25"/>
  <cols>
    <col min="1" max="1" width="9.140625" style="3" hidden="1" customWidth="1"/>
    <col min="2" max="5" width="10" style="3" customWidth="1"/>
    <col min="6" max="6" width="3.42578125" style="3" customWidth="1"/>
    <col min="7" max="10" width="4.85546875" style="3" customWidth="1"/>
    <col min="11" max="11" width="7.42578125" style="3" customWidth="1"/>
    <col min="12" max="12" width="4.85546875" style="3" customWidth="1"/>
    <col min="13" max="13" width="2" style="3" customWidth="1"/>
    <col min="14" max="14" width="38.140625" style="3" customWidth="1"/>
    <col min="15" max="15" width="7.42578125" style="4" customWidth="1"/>
    <col min="16" max="16" width="7.42578125" style="3" customWidth="1"/>
    <col min="17" max="17" width="4.85546875" style="3" customWidth="1"/>
    <col min="18" max="18" width="32.140625" style="3" hidden="1" customWidth="1"/>
    <col min="19" max="19" width="9.140625" style="3" hidden="1" customWidth="1"/>
    <col min="20" max="16384" width="9.140625" style="3"/>
  </cols>
  <sheetData>
    <row r="1" spans="1:19" s="4" customFormat="1" ht="22.5" customHeight="1" thickBot="1" x14ac:dyDescent="0.3">
      <c r="A1" s="316" t="s">
        <v>12</v>
      </c>
      <c r="B1" s="461" t="s">
        <v>20</v>
      </c>
      <c r="C1" s="461" t="s">
        <v>0</v>
      </c>
      <c r="D1" s="457" t="s">
        <v>1</v>
      </c>
      <c r="E1" s="341"/>
      <c r="F1" s="289" t="s">
        <v>2</v>
      </c>
      <c r="G1" s="293"/>
      <c r="H1" s="293"/>
      <c r="I1" s="293"/>
      <c r="J1" s="293"/>
      <c r="K1" s="293"/>
      <c r="L1" s="293"/>
      <c r="M1" s="293"/>
      <c r="N1" s="290"/>
      <c r="O1" s="461" t="s">
        <v>38</v>
      </c>
      <c r="P1" s="289" t="s">
        <v>3</v>
      </c>
      <c r="Q1" s="290"/>
    </row>
    <row r="2" spans="1:19" s="4" customFormat="1" ht="45.2" customHeight="1" thickBot="1" x14ac:dyDescent="0.3">
      <c r="A2" s="316"/>
      <c r="B2" s="462"/>
      <c r="C2" s="462"/>
      <c r="D2" s="75" t="s">
        <v>4</v>
      </c>
      <c r="E2" s="69" t="s">
        <v>5</v>
      </c>
      <c r="F2" s="291"/>
      <c r="G2" s="294"/>
      <c r="H2" s="294"/>
      <c r="I2" s="294"/>
      <c r="J2" s="294"/>
      <c r="K2" s="294"/>
      <c r="L2" s="294"/>
      <c r="M2" s="294"/>
      <c r="N2" s="292"/>
      <c r="O2" s="462"/>
      <c r="P2" s="291"/>
      <c r="Q2" s="292"/>
      <c r="R2" s="4" t="s">
        <v>39</v>
      </c>
    </row>
    <row r="3" spans="1:19" ht="68.25" hidden="1" thickBot="1" x14ac:dyDescent="0.3">
      <c r="B3" s="83"/>
      <c r="C3" s="84" t="s">
        <v>74</v>
      </c>
      <c r="D3" s="84" t="s">
        <v>4</v>
      </c>
      <c r="E3" s="79" t="s">
        <v>5</v>
      </c>
      <c r="F3" s="84" t="s">
        <v>53</v>
      </c>
      <c r="G3" s="84">
        <v>0</v>
      </c>
      <c r="H3" s="84">
        <v>0</v>
      </c>
      <c r="I3" s="84">
        <v>0</v>
      </c>
      <c r="J3" s="84">
        <v>0</v>
      </c>
      <c r="K3" s="84">
        <v>0</v>
      </c>
      <c r="L3" s="84">
        <v>0</v>
      </c>
      <c r="M3" s="84">
        <v>0</v>
      </c>
      <c r="N3" s="84" t="s">
        <v>54</v>
      </c>
      <c r="O3" s="80" t="s">
        <v>36</v>
      </c>
      <c r="P3" s="84">
        <v>0</v>
      </c>
      <c r="Q3" s="85">
        <v>0</v>
      </c>
      <c r="R3" s="16" t="s">
        <v>37</v>
      </c>
    </row>
    <row r="4" spans="1:19" ht="22.5" customHeight="1" x14ac:dyDescent="0.25">
      <c r="A4" s="82" t="s">
        <v>11</v>
      </c>
      <c r="B4" s="434" t="str">
        <f>Содержание!G5</f>
        <v>Наружное освещение</v>
      </c>
      <c r="C4" s="66" t="s">
        <v>78</v>
      </c>
      <c r="D4" s="67" t="s">
        <v>59</v>
      </c>
      <c r="E4" s="67" t="s">
        <v>200</v>
      </c>
      <c r="F4" s="458" t="s">
        <v>85</v>
      </c>
      <c r="G4" s="459"/>
      <c r="H4" s="459"/>
      <c r="I4" s="459"/>
      <c r="J4" s="459"/>
      <c r="K4" s="459"/>
      <c r="L4" s="459"/>
      <c r="M4" s="460"/>
      <c r="N4" s="76" t="s">
        <v>63</v>
      </c>
      <c r="O4" s="76">
        <v>23</v>
      </c>
      <c r="P4" s="465"/>
      <c r="Q4" s="466"/>
      <c r="R4" s="3" t="str">
        <f>B4</f>
        <v>Наружное освещение</v>
      </c>
      <c r="S4" s="3" t="s">
        <v>50</v>
      </c>
    </row>
    <row r="5" spans="1:19" ht="22.5" customHeight="1" x14ac:dyDescent="0.25">
      <c r="A5" s="82" t="s">
        <v>11</v>
      </c>
      <c r="B5" s="435"/>
      <c r="C5" s="7" t="s">
        <v>61</v>
      </c>
      <c r="D5" s="94" t="s">
        <v>59</v>
      </c>
      <c r="E5" s="67" t="s">
        <v>190</v>
      </c>
      <c r="F5" s="458" t="s">
        <v>63</v>
      </c>
      <c r="G5" s="459"/>
      <c r="H5" s="459"/>
      <c r="I5" s="459"/>
      <c r="J5" s="459"/>
      <c r="K5" s="459"/>
      <c r="L5" s="459"/>
      <c r="M5" s="460"/>
      <c r="N5" s="76" t="s">
        <v>86</v>
      </c>
      <c r="O5" s="76">
        <v>135</v>
      </c>
      <c r="P5" s="465"/>
      <c r="Q5" s="466"/>
      <c r="R5" s="3" t="str">
        <f>R4</f>
        <v>Наружное освещение</v>
      </c>
      <c r="S5" s="3" t="s">
        <v>50</v>
      </c>
    </row>
    <row r="6" spans="1:19" ht="22.5" customHeight="1" x14ac:dyDescent="0.25">
      <c r="A6" s="82" t="s">
        <v>11</v>
      </c>
      <c r="B6" s="435"/>
      <c r="C6" s="7" t="s">
        <v>79</v>
      </c>
      <c r="D6" s="94" t="s">
        <v>59</v>
      </c>
      <c r="E6" s="67" t="s">
        <v>245</v>
      </c>
      <c r="F6" s="458" t="s">
        <v>86</v>
      </c>
      <c r="G6" s="459"/>
      <c r="H6" s="459"/>
      <c r="I6" s="459"/>
      <c r="J6" s="459"/>
      <c r="K6" s="459"/>
      <c r="L6" s="459"/>
      <c r="M6" s="460"/>
      <c r="N6" s="76" t="s">
        <v>90</v>
      </c>
      <c r="O6" s="76">
        <v>30</v>
      </c>
      <c r="P6" s="465"/>
      <c r="Q6" s="466"/>
      <c r="R6" s="3" t="str">
        <f t="shared" ref="R6:R23" si="0">R5</f>
        <v>Наружное освещение</v>
      </c>
      <c r="S6" s="3" t="s">
        <v>50</v>
      </c>
    </row>
    <row r="7" spans="1:19" ht="22.5" customHeight="1" x14ac:dyDescent="0.25">
      <c r="A7" s="82" t="s">
        <v>8</v>
      </c>
      <c r="B7" s="435"/>
      <c r="C7" s="7"/>
      <c r="D7" s="94" t="s">
        <v>92</v>
      </c>
      <c r="E7" s="94" t="s">
        <v>244</v>
      </c>
      <c r="F7" s="458" t="s">
        <v>90</v>
      </c>
      <c r="G7" s="459"/>
      <c r="H7" s="459"/>
      <c r="I7" s="459"/>
      <c r="J7" s="459"/>
      <c r="K7" s="459"/>
      <c r="L7" s="459"/>
      <c r="M7" s="460"/>
      <c r="N7" s="76" t="s">
        <v>91</v>
      </c>
      <c r="O7" s="76">
        <v>9</v>
      </c>
      <c r="P7" s="465"/>
      <c r="Q7" s="466"/>
      <c r="R7" s="3" t="str">
        <f t="shared" si="0"/>
        <v>Наружное освещение</v>
      </c>
      <c r="S7" s="3" t="s">
        <v>50</v>
      </c>
    </row>
    <row r="8" spans="1:19" ht="22.5" customHeight="1" x14ac:dyDescent="0.25">
      <c r="A8" s="82" t="s">
        <v>8</v>
      </c>
      <c r="B8" s="435"/>
      <c r="C8" s="7"/>
      <c r="D8" s="94" t="s">
        <v>93</v>
      </c>
      <c r="E8" s="94" t="s">
        <v>242</v>
      </c>
      <c r="F8" s="458" t="s">
        <v>91</v>
      </c>
      <c r="G8" s="459"/>
      <c r="H8" s="459"/>
      <c r="I8" s="459"/>
      <c r="J8" s="459"/>
      <c r="K8" s="459"/>
      <c r="L8" s="459"/>
      <c r="M8" s="460"/>
      <c r="N8" s="101" t="s">
        <v>94</v>
      </c>
      <c r="O8" s="101">
        <v>6</v>
      </c>
      <c r="P8" s="465"/>
      <c r="Q8" s="466"/>
      <c r="R8" s="3" t="str">
        <f t="shared" si="0"/>
        <v>Наружное освещение</v>
      </c>
      <c r="S8" s="3" t="s">
        <v>50</v>
      </c>
    </row>
    <row r="9" spans="1:19" ht="22.5" customHeight="1" x14ac:dyDescent="0.25">
      <c r="A9" s="82" t="s">
        <v>8</v>
      </c>
      <c r="B9" s="435"/>
      <c r="C9" s="7" t="s">
        <v>62</v>
      </c>
      <c r="D9" s="94" t="s">
        <v>59</v>
      </c>
      <c r="E9" s="94" t="s">
        <v>190</v>
      </c>
      <c r="F9" s="458" t="s">
        <v>63</v>
      </c>
      <c r="G9" s="459"/>
      <c r="H9" s="459"/>
      <c r="I9" s="459"/>
      <c r="J9" s="459"/>
      <c r="K9" s="459"/>
      <c r="L9" s="459"/>
      <c r="M9" s="460"/>
      <c r="N9" s="101" t="s">
        <v>87</v>
      </c>
      <c r="O9" s="101">
        <v>85</v>
      </c>
      <c r="P9" s="465"/>
      <c r="Q9" s="466"/>
      <c r="R9" s="3" t="str">
        <f t="shared" si="0"/>
        <v>Наружное освещение</v>
      </c>
      <c r="S9" s="3" t="s">
        <v>50</v>
      </c>
    </row>
    <row r="10" spans="1:19" ht="22.5" customHeight="1" x14ac:dyDescent="0.25">
      <c r="A10" s="82" t="s">
        <v>8</v>
      </c>
      <c r="B10" s="435"/>
      <c r="C10" s="7" t="s">
        <v>80</v>
      </c>
      <c r="D10" s="94" t="s">
        <v>59</v>
      </c>
      <c r="E10" s="94" t="s">
        <v>245</v>
      </c>
      <c r="F10" s="458" t="s">
        <v>87</v>
      </c>
      <c r="G10" s="459"/>
      <c r="H10" s="459"/>
      <c r="I10" s="459"/>
      <c r="J10" s="459"/>
      <c r="K10" s="459"/>
      <c r="L10" s="459"/>
      <c r="M10" s="460"/>
      <c r="N10" s="101" t="s">
        <v>90</v>
      </c>
      <c r="O10" s="101">
        <v>30</v>
      </c>
      <c r="P10" s="465"/>
      <c r="Q10" s="466"/>
      <c r="R10" s="3" t="str">
        <f t="shared" si="0"/>
        <v>Наружное освещение</v>
      </c>
      <c r="S10" s="3" t="s">
        <v>50</v>
      </c>
    </row>
    <row r="11" spans="1:19" ht="22.5" customHeight="1" x14ac:dyDescent="0.25">
      <c r="A11" s="82" t="s">
        <v>8</v>
      </c>
      <c r="B11" s="435"/>
      <c r="C11" s="7"/>
      <c r="D11" s="94" t="s">
        <v>92</v>
      </c>
      <c r="E11" s="94" t="s">
        <v>244</v>
      </c>
      <c r="F11" s="458" t="s">
        <v>90</v>
      </c>
      <c r="G11" s="459"/>
      <c r="H11" s="459"/>
      <c r="I11" s="459"/>
      <c r="J11" s="459"/>
      <c r="K11" s="459"/>
      <c r="L11" s="459"/>
      <c r="M11" s="460"/>
      <c r="N11" s="101" t="s">
        <v>91</v>
      </c>
      <c r="O11" s="101">
        <v>9</v>
      </c>
      <c r="P11" s="463"/>
      <c r="Q11" s="463"/>
      <c r="R11" s="3" t="str">
        <f t="shared" si="0"/>
        <v>Наружное освещение</v>
      </c>
      <c r="S11" s="3" t="s">
        <v>50</v>
      </c>
    </row>
    <row r="12" spans="1:19" ht="22.5" customHeight="1" x14ac:dyDescent="0.25">
      <c r="A12" s="82" t="s">
        <v>10</v>
      </c>
      <c r="B12" s="435"/>
      <c r="C12" s="7"/>
      <c r="D12" s="94" t="s">
        <v>93</v>
      </c>
      <c r="E12" s="94" t="s">
        <v>242</v>
      </c>
      <c r="F12" s="458" t="s">
        <v>91</v>
      </c>
      <c r="G12" s="459"/>
      <c r="H12" s="459"/>
      <c r="I12" s="459"/>
      <c r="J12" s="459"/>
      <c r="K12" s="459"/>
      <c r="L12" s="459"/>
      <c r="M12" s="460"/>
      <c r="N12" s="101" t="s">
        <v>94</v>
      </c>
      <c r="O12" s="101">
        <v>6</v>
      </c>
      <c r="P12" s="463"/>
      <c r="Q12" s="463"/>
      <c r="R12" s="3" t="str">
        <f t="shared" si="0"/>
        <v>Наружное освещение</v>
      </c>
      <c r="S12" s="3" t="s">
        <v>50</v>
      </c>
    </row>
    <row r="13" spans="1:19" ht="22.5" customHeight="1" x14ac:dyDescent="0.25">
      <c r="A13" s="82" t="s">
        <v>8</v>
      </c>
      <c r="B13" s="435"/>
      <c r="C13" s="7" t="s">
        <v>81</v>
      </c>
      <c r="D13" s="94" t="s">
        <v>59</v>
      </c>
      <c r="E13" s="94" t="s">
        <v>190</v>
      </c>
      <c r="F13" s="458" t="s">
        <v>63</v>
      </c>
      <c r="G13" s="459"/>
      <c r="H13" s="459"/>
      <c r="I13" s="459"/>
      <c r="J13" s="459"/>
      <c r="K13" s="459"/>
      <c r="L13" s="459"/>
      <c r="M13" s="460"/>
      <c r="N13" s="101" t="s">
        <v>88</v>
      </c>
      <c r="O13" s="101">
        <v>60</v>
      </c>
      <c r="P13" s="463"/>
      <c r="Q13" s="463"/>
      <c r="R13" s="3" t="str">
        <f t="shared" si="0"/>
        <v>Наружное освещение</v>
      </c>
      <c r="S13" s="3" t="s">
        <v>50</v>
      </c>
    </row>
    <row r="14" spans="1:19" ht="22.5" customHeight="1" x14ac:dyDescent="0.25">
      <c r="A14" s="82" t="s">
        <v>8</v>
      </c>
      <c r="B14" s="435"/>
      <c r="C14" s="7" t="s">
        <v>82</v>
      </c>
      <c r="D14" s="94" t="s">
        <v>59</v>
      </c>
      <c r="E14" s="94" t="s">
        <v>245</v>
      </c>
      <c r="F14" s="458" t="s">
        <v>88</v>
      </c>
      <c r="G14" s="459"/>
      <c r="H14" s="459"/>
      <c r="I14" s="459"/>
      <c r="J14" s="459"/>
      <c r="K14" s="459"/>
      <c r="L14" s="459"/>
      <c r="M14" s="460"/>
      <c r="N14" s="101" t="s">
        <v>90</v>
      </c>
      <c r="O14" s="101">
        <v>25</v>
      </c>
      <c r="P14" s="463"/>
      <c r="Q14" s="463"/>
      <c r="R14" s="3" t="str">
        <f t="shared" si="0"/>
        <v>Наружное освещение</v>
      </c>
      <c r="S14" s="3" t="s">
        <v>50</v>
      </c>
    </row>
    <row r="15" spans="1:19" ht="22.5" customHeight="1" x14ac:dyDescent="0.25">
      <c r="A15" s="82" t="s">
        <v>8</v>
      </c>
      <c r="B15" s="435"/>
      <c r="C15" s="7"/>
      <c r="D15" s="94" t="s">
        <v>92</v>
      </c>
      <c r="E15" s="94" t="s">
        <v>244</v>
      </c>
      <c r="F15" s="458" t="s">
        <v>90</v>
      </c>
      <c r="G15" s="459"/>
      <c r="H15" s="459"/>
      <c r="I15" s="459"/>
      <c r="J15" s="459"/>
      <c r="K15" s="459"/>
      <c r="L15" s="459"/>
      <c r="M15" s="460"/>
      <c r="N15" s="101" t="s">
        <v>91</v>
      </c>
      <c r="O15" s="101">
        <v>6</v>
      </c>
      <c r="P15" s="463"/>
      <c r="Q15" s="463"/>
      <c r="R15" s="3" t="str">
        <f t="shared" si="0"/>
        <v>Наружное освещение</v>
      </c>
      <c r="S15" s="3" t="s">
        <v>50</v>
      </c>
    </row>
    <row r="16" spans="1:19" ht="22.5" customHeight="1" x14ac:dyDescent="0.25">
      <c r="A16" s="82" t="s">
        <v>8</v>
      </c>
      <c r="B16" s="435"/>
      <c r="C16" s="7"/>
      <c r="D16" s="94" t="s">
        <v>93</v>
      </c>
      <c r="E16" s="94" t="s">
        <v>242</v>
      </c>
      <c r="F16" s="458" t="s">
        <v>91</v>
      </c>
      <c r="G16" s="459"/>
      <c r="H16" s="459"/>
      <c r="I16" s="459"/>
      <c r="J16" s="459"/>
      <c r="K16" s="459"/>
      <c r="L16" s="459"/>
      <c r="M16" s="460"/>
      <c r="N16" s="101" t="s">
        <v>94</v>
      </c>
      <c r="O16" s="101">
        <v>4</v>
      </c>
      <c r="P16" s="463"/>
      <c r="Q16" s="463"/>
      <c r="R16" s="3" t="str">
        <f t="shared" si="0"/>
        <v>Наружное освещение</v>
      </c>
      <c r="S16" s="3" t="s">
        <v>50</v>
      </c>
    </row>
    <row r="17" spans="1:19" ht="22.5" customHeight="1" x14ac:dyDescent="0.25">
      <c r="A17" s="82" t="s">
        <v>8</v>
      </c>
      <c r="B17" s="435"/>
      <c r="C17" s="7" t="s">
        <v>83</v>
      </c>
      <c r="D17" s="94" t="s">
        <v>59</v>
      </c>
      <c r="E17" s="94" t="s">
        <v>190</v>
      </c>
      <c r="F17" s="458" t="s">
        <v>63</v>
      </c>
      <c r="G17" s="459"/>
      <c r="H17" s="459"/>
      <c r="I17" s="459"/>
      <c r="J17" s="459"/>
      <c r="K17" s="459"/>
      <c r="L17" s="459"/>
      <c r="M17" s="460"/>
      <c r="N17" s="101" t="s">
        <v>89</v>
      </c>
      <c r="O17" s="101">
        <v>100</v>
      </c>
      <c r="P17" s="463"/>
      <c r="Q17" s="463"/>
      <c r="R17" s="3" t="str">
        <f t="shared" si="0"/>
        <v>Наружное освещение</v>
      </c>
      <c r="S17" s="3" t="s">
        <v>50</v>
      </c>
    </row>
    <row r="18" spans="1:19" ht="22.5" customHeight="1" x14ac:dyDescent="0.25">
      <c r="A18" s="82" t="s">
        <v>8</v>
      </c>
      <c r="B18" s="435"/>
      <c r="C18" s="7" t="s">
        <v>84</v>
      </c>
      <c r="D18" s="94" t="s">
        <v>59</v>
      </c>
      <c r="E18" s="94" t="s">
        <v>245</v>
      </c>
      <c r="F18" s="458" t="s">
        <v>89</v>
      </c>
      <c r="G18" s="459"/>
      <c r="H18" s="459"/>
      <c r="I18" s="459"/>
      <c r="J18" s="459"/>
      <c r="K18" s="459"/>
      <c r="L18" s="459"/>
      <c r="M18" s="460"/>
      <c r="N18" s="101" t="s">
        <v>90</v>
      </c>
      <c r="O18" s="101">
        <v>25</v>
      </c>
      <c r="P18" s="463"/>
      <c r="Q18" s="463"/>
      <c r="R18" s="3" t="str">
        <f t="shared" si="0"/>
        <v>Наружное освещение</v>
      </c>
      <c r="S18" s="3" t="s">
        <v>50</v>
      </c>
    </row>
    <row r="19" spans="1:19" ht="22.5" customHeight="1" x14ac:dyDescent="0.25">
      <c r="A19" s="82" t="s">
        <v>8</v>
      </c>
      <c r="B19" s="435"/>
      <c r="C19" s="7"/>
      <c r="D19" s="94" t="s">
        <v>92</v>
      </c>
      <c r="E19" s="94" t="s">
        <v>244</v>
      </c>
      <c r="F19" s="458" t="s">
        <v>90</v>
      </c>
      <c r="G19" s="459"/>
      <c r="H19" s="459"/>
      <c r="I19" s="459"/>
      <c r="J19" s="459"/>
      <c r="K19" s="459"/>
      <c r="L19" s="459"/>
      <c r="M19" s="460"/>
      <c r="N19" s="101" t="s">
        <v>91</v>
      </c>
      <c r="O19" s="101">
        <v>6</v>
      </c>
      <c r="P19" s="463"/>
      <c r="Q19" s="463"/>
      <c r="R19" s="3" t="str">
        <f t="shared" si="0"/>
        <v>Наружное освещение</v>
      </c>
      <c r="S19" s="3" t="s">
        <v>50</v>
      </c>
    </row>
    <row r="20" spans="1:19" ht="22.5" customHeight="1" x14ac:dyDescent="0.25">
      <c r="A20" s="82" t="s">
        <v>8</v>
      </c>
      <c r="B20" s="435"/>
      <c r="C20" s="7"/>
      <c r="D20" s="94" t="s">
        <v>93</v>
      </c>
      <c r="E20" s="94" t="s">
        <v>242</v>
      </c>
      <c r="F20" s="458" t="s">
        <v>91</v>
      </c>
      <c r="G20" s="459"/>
      <c r="H20" s="459"/>
      <c r="I20" s="459"/>
      <c r="J20" s="459"/>
      <c r="K20" s="459"/>
      <c r="L20" s="459"/>
      <c r="M20" s="460"/>
      <c r="N20" s="101" t="s">
        <v>94</v>
      </c>
      <c r="O20" s="101">
        <v>4</v>
      </c>
      <c r="P20" s="463"/>
      <c r="Q20" s="463"/>
      <c r="R20" s="3" t="str">
        <f t="shared" si="0"/>
        <v>Наружное освещение</v>
      </c>
      <c r="S20" s="3" t="s">
        <v>50</v>
      </c>
    </row>
    <row r="21" spans="1:19" ht="22.5" customHeight="1" x14ac:dyDescent="0.25">
      <c r="A21" s="82" t="s">
        <v>8</v>
      </c>
      <c r="B21" s="435"/>
      <c r="C21" s="7"/>
      <c r="D21" s="67"/>
      <c r="E21" s="67"/>
      <c r="F21" s="464"/>
      <c r="G21" s="464"/>
      <c r="H21" s="464"/>
      <c r="I21" s="464"/>
      <c r="J21" s="464"/>
      <c r="K21" s="464"/>
      <c r="L21" s="464"/>
      <c r="M21" s="464"/>
      <c r="N21" s="76"/>
      <c r="O21" s="76"/>
      <c r="P21" s="463"/>
      <c r="Q21" s="463"/>
      <c r="R21" s="3" t="str">
        <f t="shared" si="0"/>
        <v>Наружное освещение</v>
      </c>
      <c r="S21" s="3" t="s">
        <v>50</v>
      </c>
    </row>
    <row r="22" spans="1:19" ht="22.5" customHeight="1" x14ac:dyDescent="0.25">
      <c r="A22" s="82" t="s">
        <v>9</v>
      </c>
      <c r="B22" s="435"/>
      <c r="C22" s="7"/>
      <c r="D22" s="67"/>
      <c r="E22" s="67"/>
      <c r="F22" s="464"/>
      <c r="G22" s="464"/>
      <c r="H22" s="464"/>
      <c r="I22" s="464"/>
      <c r="J22" s="464"/>
      <c r="K22" s="464"/>
      <c r="L22" s="464"/>
      <c r="M22" s="464"/>
      <c r="N22" s="76"/>
      <c r="O22" s="76"/>
      <c r="P22" s="463"/>
      <c r="Q22" s="463"/>
      <c r="R22" s="3" t="str">
        <f t="shared" si="0"/>
        <v>Наружное освещение</v>
      </c>
      <c r="S22" s="3" t="s">
        <v>50</v>
      </c>
    </row>
    <row r="23" spans="1:19" ht="22.5" customHeight="1" thickBot="1" x14ac:dyDescent="0.3">
      <c r="A23" s="82" t="s">
        <v>10</v>
      </c>
      <c r="B23" s="435"/>
      <c r="C23" s="68"/>
      <c r="D23" s="68"/>
      <c r="E23" s="68"/>
      <c r="F23" s="384"/>
      <c r="G23" s="384"/>
      <c r="H23" s="384"/>
      <c r="I23" s="384"/>
      <c r="J23" s="384"/>
      <c r="K23" s="384"/>
      <c r="L23" s="384"/>
      <c r="M23" s="384"/>
      <c r="N23" s="81"/>
      <c r="O23" s="81"/>
      <c r="P23" s="476"/>
      <c r="Q23" s="476"/>
      <c r="R23" s="3" t="str">
        <f t="shared" si="0"/>
        <v>Наружное освещение</v>
      </c>
      <c r="S23" s="3" t="s">
        <v>50</v>
      </c>
    </row>
    <row r="24" spans="1:19" ht="13.5" customHeight="1" thickBot="1" x14ac:dyDescent="0.3">
      <c r="B24" s="29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70"/>
      <c r="P24" s="30"/>
      <c r="Q24" s="31"/>
      <c r="S24" s="3" t="s">
        <v>50</v>
      </c>
    </row>
    <row r="25" spans="1:19" s="4" customFormat="1" ht="13.5" customHeight="1" thickBot="1" x14ac:dyDescent="0.3">
      <c r="B25" s="71"/>
      <c r="C25" s="72"/>
      <c r="D25" s="72"/>
      <c r="E25" s="72"/>
      <c r="F25" s="72"/>
      <c r="G25" s="78"/>
      <c r="H25" s="78"/>
      <c r="I25" s="78"/>
      <c r="J25" s="78"/>
      <c r="K25" s="78"/>
      <c r="L25" s="78"/>
      <c r="M25" s="477" t="str">
        <f>Содержание!$AJ$29</f>
        <v>29-КМЧ-2015-027-ЭП.С</v>
      </c>
      <c r="N25" s="477"/>
      <c r="O25" s="477"/>
      <c r="P25" s="477"/>
      <c r="Q25" s="86" t="s">
        <v>18</v>
      </c>
      <c r="S25" s="3" t="s">
        <v>50</v>
      </c>
    </row>
    <row r="26" spans="1:19" s="4" customFormat="1" ht="13.5" customHeight="1" x14ac:dyDescent="0.25">
      <c r="B26" s="71"/>
      <c r="C26" s="72"/>
      <c r="D26" s="72"/>
      <c r="E26" s="72"/>
      <c r="F26" s="72"/>
      <c r="G26" s="76"/>
      <c r="H26" s="76"/>
      <c r="I26" s="76"/>
      <c r="J26" s="76"/>
      <c r="K26" s="76"/>
      <c r="L26" s="76"/>
      <c r="M26" s="478"/>
      <c r="N26" s="478"/>
      <c r="O26" s="478"/>
      <c r="P26" s="478"/>
      <c r="Q26" s="474">
        <v>3</v>
      </c>
      <c r="S26" s="3" t="s">
        <v>50</v>
      </c>
    </row>
    <row r="27" spans="1:19" s="4" customFormat="1" ht="13.5" customHeight="1" thickBot="1" x14ac:dyDescent="0.3">
      <c r="B27" s="73"/>
      <c r="C27" s="74"/>
      <c r="D27" s="74"/>
      <c r="E27" s="74"/>
      <c r="F27" s="74"/>
      <c r="G27" s="87" t="s">
        <v>25</v>
      </c>
      <c r="H27" s="88" t="s">
        <v>24</v>
      </c>
      <c r="I27" s="87" t="s">
        <v>18</v>
      </c>
      <c r="J27" s="87" t="s">
        <v>23</v>
      </c>
      <c r="K27" s="87" t="s">
        <v>22</v>
      </c>
      <c r="L27" s="87" t="s">
        <v>21</v>
      </c>
      <c r="M27" s="479"/>
      <c r="N27" s="479"/>
      <c r="O27" s="479"/>
      <c r="P27" s="479"/>
      <c r="Q27" s="475"/>
      <c r="S27" s="3" t="s">
        <v>50</v>
      </c>
    </row>
    <row r="28" spans="1:19" ht="22.5" customHeight="1" x14ac:dyDescent="0.25">
      <c r="A28" s="2" t="s">
        <v>8</v>
      </c>
      <c r="B28" s="435" t="str">
        <f>Содержание!G7</f>
        <v>Установка трансформаторов собственных нужд</v>
      </c>
      <c r="C28" s="8" t="s">
        <v>65</v>
      </c>
      <c r="D28" s="65" t="s">
        <v>95</v>
      </c>
      <c r="E28" s="65" t="s">
        <v>237</v>
      </c>
      <c r="F28" s="467" t="s">
        <v>96</v>
      </c>
      <c r="G28" s="467"/>
      <c r="H28" s="467"/>
      <c r="I28" s="467"/>
      <c r="J28" s="467"/>
      <c r="K28" s="467"/>
      <c r="L28" s="467"/>
      <c r="M28" s="467"/>
      <c r="N28" s="8" t="s">
        <v>98</v>
      </c>
      <c r="O28" s="8">
        <v>70</v>
      </c>
      <c r="P28" s="472"/>
      <c r="Q28" s="472"/>
      <c r="R28" s="3" t="str">
        <f>B28</f>
        <v>Установка трансформаторов собственных нужд</v>
      </c>
      <c r="S28" s="3" t="s">
        <v>50</v>
      </c>
    </row>
    <row r="29" spans="1:19" ht="22.5" customHeight="1" x14ac:dyDescent="0.25">
      <c r="A29" s="2" t="s">
        <v>8</v>
      </c>
      <c r="B29" s="435"/>
      <c r="C29" s="42" t="s">
        <v>66</v>
      </c>
      <c r="D29" s="65" t="s">
        <v>95</v>
      </c>
      <c r="E29" s="65" t="s">
        <v>237</v>
      </c>
      <c r="F29" s="473" t="s">
        <v>97</v>
      </c>
      <c r="G29" s="473"/>
      <c r="H29" s="473"/>
      <c r="I29" s="473"/>
      <c r="J29" s="473"/>
      <c r="K29" s="473"/>
      <c r="L29" s="473"/>
      <c r="M29" s="473"/>
      <c r="N29" s="44" t="s">
        <v>99</v>
      </c>
      <c r="O29" s="44">
        <v>65</v>
      </c>
      <c r="P29" s="470"/>
      <c r="Q29" s="471"/>
      <c r="R29" s="3" t="str">
        <f>R28</f>
        <v>Установка трансформаторов собственных нужд</v>
      </c>
      <c r="S29" s="3" t="s">
        <v>50</v>
      </c>
    </row>
    <row r="30" spans="1:19" ht="22.5" customHeight="1" x14ac:dyDescent="0.25">
      <c r="A30" s="2" t="s">
        <v>10</v>
      </c>
      <c r="B30" s="435"/>
      <c r="C30" s="42" t="s">
        <v>67</v>
      </c>
      <c r="D30" s="43" t="s">
        <v>59</v>
      </c>
      <c r="E30" s="43" t="s">
        <v>240</v>
      </c>
      <c r="F30" s="458" t="s">
        <v>98</v>
      </c>
      <c r="G30" s="459"/>
      <c r="H30" s="459"/>
      <c r="I30" s="459"/>
      <c r="J30" s="459"/>
      <c r="K30" s="459"/>
      <c r="L30" s="459"/>
      <c r="M30" s="460"/>
      <c r="N30" s="44" t="s">
        <v>69</v>
      </c>
      <c r="O30" s="44">
        <v>75</v>
      </c>
      <c r="P30" s="470"/>
      <c r="Q30" s="471"/>
      <c r="R30" s="3" t="str">
        <f t="shared" ref="R30:R47" si="1">R29</f>
        <v>Установка трансформаторов собственных нужд</v>
      </c>
      <c r="S30" s="3" t="s">
        <v>50</v>
      </c>
    </row>
    <row r="31" spans="1:19" ht="22.5" customHeight="1" x14ac:dyDescent="0.25">
      <c r="A31" s="2" t="s">
        <v>8</v>
      </c>
      <c r="B31" s="435"/>
      <c r="C31" s="42" t="s">
        <v>68</v>
      </c>
      <c r="D31" s="43" t="s">
        <v>59</v>
      </c>
      <c r="E31" s="43" t="s">
        <v>240</v>
      </c>
      <c r="F31" s="458" t="s">
        <v>99</v>
      </c>
      <c r="G31" s="459"/>
      <c r="H31" s="459"/>
      <c r="I31" s="459"/>
      <c r="J31" s="459"/>
      <c r="K31" s="459"/>
      <c r="L31" s="459"/>
      <c r="M31" s="460"/>
      <c r="N31" s="44" t="s">
        <v>70</v>
      </c>
      <c r="O31" s="44">
        <v>70</v>
      </c>
      <c r="P31" s="470"/>
      <c r="Q31" s="471"/>
      <c r="R31" s="3" t="str">
        <f t="shared" si="1"/>
        <v>Установка трансформаторов собственных нужд</v>
      </c>
      <c r="S31" s="3" t="s">
        <v>50</v>
      </c>
    </row>
    <row r="32" spans="1:19" ht="22.5" customHeight="1" x14ac:dyDescent="0.25">
      <c r="A32" s="2" t="s">
        <v>8</v>
      </c>
      <c r="B32" s="435"/>
      <c r="C32" s="42"/>
      <c r="D32" s="43"/>
      <c r="E32" s="43"/>
      <c r="F32" s="468"/>
      <c r="G32" s="468"/>
      <c r="H32" s="468"/>
      <c r="I32" s="468"/>
      <c r="J32" s="468"/>
      <c r="K32" s="468"/>
      <c r="L32" s="468"/>
      <c r="M32" s="468"/>
      <c r="N32" s="44"/>
      <c r="O32" s="44"/>
      <c r="P32" s="470"/>
      <c r="Q32" s="471"/>
      <c r="R32" s="3" t="str">
        <f t="shared" si="1"/>
        <v>Установка трансформаторов собственных нужд</v>
      </c>
      <c r="S32" s="3" t="s">
        <v>50</v>
      </c>
    </row>
    <row r="33" spans="1:19" ht="22.5" customHeight="1" x14ac:dyDescent="0.25">
      <c r="A33" s="2" t="s">
        <v>8</v>
      </c>
      <c r="B33" s="435"/>
      <c r="C33" s="42"/>
      <c r="D33" s="43"/>
      <c r="E33" s="43"/>
      <c r="F33" s="468"/>
      <c r="G33" s="468"/>
      <c r="H33" s="468"/>
      <c r="I33" s="468"/>
      <c r="J33" s="468"/>
      <c r="K33" s="468"/>
      <c r="L33" s="468"/>
      <c r="M33" s="468"/>
      <c r="N33" s="44"/>
      <c r="O33" s="44"/>
      <c r="P33" s="470"/>
      <c r="Q33" s="471"/>
      <c r="R33" s="3" t="str">
        <f t="shared" si="1"/>
        <v>Установка трансформаторов собственных нужд</v>
      </c>
      <c r="S33" s="3" t="s">
        <v>50</v>
      </c>
    </row>
    <row r="34" spans="1:19" ht="22.5" customHeight="1" x14ac:dyDescent="0.25">
      <c r="A34" s="2" t="s">
        <v>8</v>
      </c>
      <c r="B34" s="435"/>
      <c r="C34" s="42"/>
      <c r="D34" s="43"/>
      <c r="E34" s="43"/>
      <c r="F34" s="468"/>
      <c r="G34" s="468"/>
      <c r="H34" s="468"/>
      <c r="I34" s="468"/>
      <c r="J34" s="468"/>
      <c r="K34" s="468"/>
      <c r="L34" s="468"/>
      <c r="M34" s="468"/>
      <c r="N34" s="44"/>
      <c r="O34" s="44"/>
      <c r="P34" s="470"/>
      <c r="Q34" s="471"/>
      <c r="R34" s="3" t="str">
        <f t="shared" si="1"/>
        <v>Установка трансформаторов собственных нужд</v>
      </c>
      <c r="S34" s="3" t="s">
        <v>50</v>
      </c>
    </row>
    <row r="35" spans="1:19" ht="22.5" customHeight="1" x14ac:dyDescent="0.25">
      <c r="A35" s="2" t="s">
        <v>8</v>
      </c>
      <c r="B35" s="435"/>
      <c r="C35" s="42"/>
      <c r="D35" s="43"/>
      <c r="E35" s="43"/>
      <c r="F35" s="468"/>
      <c r="G35" s="468"/>
      <c r="H35" s="468"/>
      <c r="I35" s="468"/>
      <c r="J35" s="468"/>
      <c r="K35" s="468"/>
      <c r="L35" s="468"/>
      <c r="M35" s="468"/>
      <c r="N35" s="44"/>
      <c r="O35" s="44"/>
      <c r="P35" s="470"/>
      <c r="Q35" s="471"/>
      <c r="R35" s="3" t="str">
        <f t="shared" si="1"/>
        <v>Установка трансформаторов собственных нужд</v>
      </c>
      <c r="S35" s="3" t="s">
        <v>50</v>
      </c>
    </row>
    <row r="36" spans="1:19" ht="22.5" customHeight="1" x14ac:dyDescent="0.25">
      <c r="A36" s="2" t="s">
        <v>8</v>
      </c>
      <c r="B36" s="435"/>
      <c r="C36" s="42"/>
      <c r="D36" s="43"/>
      <c r="E36" s="43"/>
      <c r="F36" s="468"/>
      <c r="G36" s="468"/>
      <c r="H36" s="468"/>
      <c r="I36" s="468"/>
      <c r="J36" s="468"/>
      <c r="K36" s="468"/>
      <c r="L36" s="468"/>
      <c r="M36" s="468"/>
      <c r="N36" s="44"/>
      <c r="O36" s="44"/>
      <c r="P36" s="470"/>
      <c r="Q36" s="471"/>
      <c r="R36" s="3" t="str">
        <f t="shared" si="1"/>
        <v>Установка трансформаторов собственных нужд</v>
      </c>
      <c r="S36" s="3" t="s">
        <v>50</v>
      </c>
    </row>
    <row r="37" spans="1:19" ht="22.5" customHeight="1" x14ac:dyDescent="0.25">
      <c r="A37" s="2" t="s">
        <v>8</v>
      </c>
      <c r="B37" s="435"/>
      <c r="C37" s="42"/>
      <c r="D37" s="43"/>
      <c r="E37" s="43"/>
      <c r="F37" s="468"/>
      <c r="G37" s="468"/>
      <c r="H37" s="468"/>
      <c r="I37" s="468"/>
      <c r="J37" s="468"/>
      <c r="K37" s="468"/>
      <c r="L37" s="468"/>
      <c r="M37" s="468"/>
      <c r="N37" s="44"/>
      <c r="O37" s="44"/>
      <c r="P37" s="470"/>
      <c r="Q37" s="471"/>
      <c r="R37" s="3" t="str">
        <f t="shared" si="1"/>
        <v>Установка трансформаторов собственных нужд</v>
      </c>
      <c r="S37" s="3" t="s">
        <v>50</v>
      </c>
    </row>
    <row r="38" spans="1:19" ht="22.5" customHeight="1" x14ac:dyDescent="0.25">
      <c r="A38" s="2" t="s">
        <v>8</v>
      </c>
      <c r="B38" s="435"/>
      <c r="C38" s="42"/>
      <c r="D38" s="43"/>
      <c r="E38" s="43"/>
      <c r="F38" s="468"/>
      <c r="G38" s="468"/>
      <c r="H38" s="468"/>
      <c r="I38" s="468"/>
      <c r="J38" s="468"/>
      <c r="K38" s="468"/>
      <c r="L38" s="468"/>
      <c r="M38" s="468"/>
      <c r="N38" s="44"/>
      <c r="O38" s="44"/>
      <c r="P38" s="470"/>
      <c r="Q38" s="471"/>
      <c r="R38" s="3" t="str">
        <f t="shared" si="1"/>
        <v>Установка трансформаторов собственных нужд</v>
      </c>
      <c r="S38" s="3" t="s">
        <v>50</v>
      </c>
    </row>
    <row r="39" spans="1:19" ht="22.5" customHeight="1" x14ac:dyDescent="0.25">
      <c r="A39" s="2" t="s">
        <v>8</v>
      </c>
      <c r="B39" s="435"/>
      <c r="C39" s="42"/>
      <c r="D39" s="43"/>
      <c r="E39" s="43"/>
      <c r="F39" s="468"/>
      <c r="G39" s="468"/>
      <c r="H39" s="468"/>
      <c r="I39" s="468"/>
      <c r="J39" s="468"/>
      <c r="K39" s="468"/>
      <c r="L39" s="468"/>
      <c r="M39" s="468"/>
      <c r="N39" s="44"/>
      <c r="O39" s="44"/>
      <c r="P39" s="470"/>
      <c r="Q39" s="471"/>
      <c r="R39" s="3" t="str">
        <f t="shared" si="1"/>
        <v>Установка трансформаторов собственных нужд</v>
      </c>
      <c r="S39" s="3" t="s">
        <v>50</v>
      </c>
    </row>
    <row r="40" spans="1:19" ht="22.5" customHeight="1" x14ac:dyDescent="0.25">
      <c r="A40" s="2" t="s">
        <v>8</v>
      </c>
      <c r="B40" s="435"/>
      <c r="C40" s="42"/>
      <c r="D40" s="43"/>
      <c r="E40" s="43"/>
      <c r="F40" s="468"/>
      <c r="G40" s="468"/>
      <c r="H40" s="468"/>
      <c r="I40" s="468"/>
      <c r="J40" s="468"/>
      <c r="K40" s="468"/>
      <c r="L40" s="468"/>
      <c r="M40" s="468"/>
      <c r="N40" s="44"/>
      <c r="O40" s="44"/>
      <c r="P40" s="470"/>
      <c r="Q40" s="471"/>
      <c r="R40" s="3" t="str">
        <f t="shared" si="1"/>
        <v>Установка трансформаторов собственных нужд</v>
      </c>
      <c r="S40" s="3" t="s">
        <v>50</v>
      </c>
    </row>
    <row r="41" spans="1:19" ht="22.5" customHeight="1" x14ac:dyDescent="0.25">
      <c r="A41" s="2" t="s">
        <v>8</v>
      </c>
      <c r="B41" s="435"/>
      <c r="C41" s="42"/>
      <c r="D41" s="43"/>
      <c r="E41" s="43"/>
      <c r="F41" s="468"/>
      <c r="G41" s="468"/>
      <c r="H41" s="468"/>
      <c r="I41" s="468"/>
      <c r="J41" s="468"/>
      <c r="K41" s="468"/>
      <c r="L41" s="468"/>
      <c r="M41" s="468"/>
      <c r="N41" s="44"/>
      <c r="O41" s="44"/>
      <c r="P41" s="470"/>
      <c r="Q41" s="471"/>
      <c r="R41" s="3" t="str">
        <f t="shared" si="1"/>
        <v>Установка трансформаторов собственных нужд</v>
      </c>
      <c r="S41" s="3" t="s">
        <v>50</v>
      </c>
    </row>
    <row r="42" spans="1:19" ht="22.5" customHeight="1" x14ac:dyDescent="0.25">
      <c r="A42" s="2" t="s">
        <v>8</v>
      </c>
      <c r="B42" s="435"/>
      <c r="C42" s="42"/>
      <c r="D42" s="43"/>
      <c r="E42" s="43"/>
      <c r="F42" s="468"/>
      <c r="G42" s="468"/>
      <c r="H42" s="468"/>
      <c r="I42" s="468"/>
      <c r="J42" s="468"/>
      <c r="K42" s="468"/>
      <c r="L42" s="468"/>
      <c r="M42" s="468"/>
      <c r="N42" s="44"/>
      <c r="O42" s="44"/>
      <c r="P42" s="470"/>
      <c r="Q42" s="471"/>
      <c r="R42" s="3" t="str">
        <f t="shared" si="1"/>
        <v>Установка трансформаторов собственных нужд</v>
      </c>
      <c r="S42" s="3" t="s">
        <v>50</v>
      </c>
    </row>
    <row r="43" spans="1:19" ht="22.5" customHeight="1" x14ac:dyDescent="0.25">
      <c r="A43" s="2" t="s">
        <v>8</v>
      </c>
      <c r="B43" s="435"/>
      <c r="C43" s="42"/>
      <c r="D43" s="43"/>
      <c r="E43" s="43"/>
      <c r="F43" s="468"/>
      <c r="G43" s="468"/>
      <c r="H43" s="468"/>
      <c r="I43" s="468"/>
      <c r="J43" s="468"/>
      <c r="K43" s="468"/>
      <c r="L43" s="468"/>
      <c r="M43" s="468"/>
      <c r="N43" s="44"/>
      <c r="O43" s="44"/>
      <c r="P43" s="470"/>
      <c r="Q43" s="471"/>
      <c r="R43" s="3" t="str">
        <f t="shared" si="1"/>
        <v>Установка трансформаторов собственных нужд</v>
      </c>
      <c r="S43" s="3" t="s">
        <v>50</v>
      </c>
    </row>
    <row r="44" spans="1:19" ht="22.5" customHeight="1" x14ac:dyDescent="0.25">
      <c r="A44" s="2" t="s">
        <v>8</v>
      </c>
      <c r="B44" s="435"/>
      <c r="C44" s="42"/>
      <c r="D44" s="43"/>
      <c r="E44" s="43"/>
      <c r="F44" s="468"/>
      <c r="G44" s="468"/>
      <c r="H44" s="468"/>
      <c r="I44" s="468"/>
      <c r="J44" s="468"/>
      <c r="K44" s="468"/>
      <c r="L44" s="468"/>
      <c r="M44" s="468"/>
      <c r="N44" s="44"/>
      <c r="O44" s="44"/>
      <c r="P44" s="470"/>
      <c r="Q44" s="471"/>
      <c r="R44" s="3" t="str">
        <f t="shared" si="1"/>
        <v>Установка трансформаторов собственных нужд</v>
      </c>
      <c r="S44" s="3" t="s">
        <v>50</v>
      </c>
    </row>
    <row r="45" spans="1:19" ht="22.5" customHeight="1" x14ac:dyDescent="0.25">
      <c r="A45" s="2" t="s">
        <v>8</v>
      </c>
      <c r="B45" s="435"/>
      <c r="C45" s="42"/>
      <c r="D45" s="43"/>
      <c r="E45" s="43"/>
      <c r="F45" s="468"/>
      <c r="G45" s="468"/>
      <c r="H45" s="468"/>
      <c r="I45" s="468"/>
      <c r="J45" s="468"/>
      <c r="K45" s="468"/>
      <c r="L45" s="468"/>
      <c r="M45" s="468"/>
      <c r="N45" s="44"/>
      <c r="O45" s="44"/>
      <c r="P45" s="470"/>
      <c r="Q45" s="471"/>
      <c r="R45" s="3" t="str">
        <f t="shared" si="1"/>
        <v>Установка трансформаторов собственных нужд</v>
      </c>
      <c r="S45" s="3" t="s">
        <v>50</v>
      </c>
    </row>
    <row r="46" spans="1:19" ht="22.5" customHeight="1" x14ac:dyDescent="0.25">
      <c r="A46" s="2" t="s">
        <v>8</v>
      </c>
      <c r="B46" s="435"/>
      <c r="C46" s="42"/>
      <c r="D46" s="43"/>
      <c r="E46" s="43"/>
      <c r="F46" s="468"/>
      <c r="G46" s="468"/>
      <c r="H46" s="468"/>
      <c r="I46" s="468"/>
      <c r="J46" s="468"/>
      <c r="K46" s="468"/>
      <c r="L46" s="468"/>
      <c r="M46" s="468"/>
      <c r="N46" s="44"/>
      <c r="O46" s="44"/>
      <c r="P46" s="470"/>
      <c r="Q46" s="471"/>
      <c r="R46" s="3" t="str">
        <f t="shared" si="1"/>
        <v>Установка трансформаторов собственных нужд</v>
      </c>
      <c r="S46" s="3" t="s">
        <v>50</v>
      </c>
    </row>
    <row r="47" spans="1:19" ht="22.5" customHeight="1" thickBot="1" x14ac:dyDescent="0.3">
      <c r="A47" s="2" t="s">
        <v>8</v>
      </c>
      <c r="B47" s="435"/>
      <c r="C47" s="45"/>
      <c r="D47" s="46"/>
      <c r="E47" s="46"/>
      <c r="F47" s="469"/>
      <c r="G47" s="469"/>
      <c r="H47" s="469"/>
      <c r="I47" s="469"/>
      <c r="J47" s="469"/>
      <c r="K47" s="469"/>
      <c r="L47" s="469"/>
      <c r="M47" s="469"/>
      <c r="N47" s="47"/>
      <c r="O47" s="47"/>
      <c r="P47" s="480"/>
      <c r="Q47" s="481"/>
      <c r="R47" s="3" t="str">
        <f t="shared" si="1"/>
        <v>Установка трансформаторов собственных нужд</v>
      </c>
      <c r="S47" s="3" t="s">
        <v>50</v>
      </c>
    </row>
    <row r="48" spans="1:19" ht="13.5" customHeight="1" thickBot="1" x14ac:dyDescent="0.3">
      <c r="B48" s="29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3"/>
      <c r="P48" s="30"/>
      <c r="Q48" s="31"/>
      <c r="S48" s="3" t="s">
        <v>50</v>
      </c>
    </row>
    <row r="49" spans="1:19" s="4" customFormat="1" ht="13.5" customHeight="1" thickBot="1" x14ac:dyDescent="0.3">
      <c r="B49" s="5"/>
      <c r="C49" s="6"/>
      <c r="D49" s="6"/>
      <c r="E49" s="6"/>
      <c r="F49" s="6"/>
      <c r="G49" s="39"/>
      <c r="H49" s="39"/>
      <c r="I49" s="39"/>
      <c r="J49" s="39"/>
      <c r="K49" s="39"/>
      <c r="L49" s="39"/>
      <c r="M49" s="482" t="str">
        <f>Содержание!$AJ$29</f>
        <v>29-КМЧ-2015-027-ЭП.С</v>
      </c>
      <c r="N49" s="482"/>
      <c r="O49" s="482"/>
      <c r="P49" s="482"/>
      <c r="Q49" s="32" t="s">
        <v>18</v>
      </c>
      <c r="S49" s="3" t="s">
        <v>50</v>
      </c>
    </row>
    <row r="50" spans="1:19" s="4" customFormat="1" ht="13.5" customHeight="1" x14ac:dyDescent="0.25">
      <c r="B50" s="5"/>
      <c r="C50" s="6"/>
      <c r="D50" s="6"/>
      <c r="E50" s="6"/>
      <c r="F50" s="6"/>
      <c r="G50" s="40"/>
      <c r="H50" s="40"/>
      <c r="I50" s="40"/>
      <c r="J50" s="40"/>
      <c r="K50" s="40"/>
      <c r="L50" s="40"/>
      <c r="M50" s="483"/>
      <c r="N50" s="483"/>
      <c r="O50" s="483"/>
      <c r="P50" s="483"/>
      <c r="Q50" s="485">
        <f t="shared" ref="Q50" si="2">Q26+1</f>
        <v>4</v>
      </c>
      <c r="S50" s="3" t="s">
        <v>50</v>
      </c>
    </row>
    <row r="51" spans="1:19" s="4" customFormat="1" ht="13.5" customHeight="1" thickBot="1" x14ac:dyDescent="0.3">
      <c r="B51" s="34"/>
      <c r="C51" s="35"/>
      <c r="D51" s="35"/>
      <c r="E51" s="35"/>
      <c r="F51" s="35"/>
      <c r="G51" s="41" t="s">
        <v>25</v>
      </c>
      <c r="H51" s="64" t="s">
        <v>24</v>
      </c>
      <c r="I51" s="41" t="s">
        <v>18</v>
      </c>
      <c r="J51" s="41" t="s">
        <v>23</v>
      </c>
      <c r="K51" s="41" t="s">
        <v>22</v>
      </c>
      <c r="L51" s="41" t="s">
        <v>21</v>
      </c>
      <c r="M51" s="484"/>
      <c r="N51" s="484"/>
      <c r="O51" s="484"/>
      <c r="P51" s="484"/>
      <c r="Q51" s="486"/>
      <c r="S51" s="3" t="s">
        <v>50</v>
      </c>
    </row>
    <row r="52" spans="1:19" ht="22.5" customHeight="1" x14ac:dyDescent="0.25">
      <c r="A52" s="82" t="s">
        <v>11</v>
      </c>
      <c r="B52" s="434" t="str">
        <f>Содержание!G9</f>
        <v>ЗРУ 6 кВ</v>
      </c>
      <c r="C52" s="113" t="s">
        <v>101</v>
      </c>
      <c r="D52" s="114" t="s">
        <v>59</v>
      </c>
      <c r="E52" s="114" t="s">
        <v>210</v>
      </c>
      <c r="F52" s="492" t="s">
        <v>120</v>
      </c>
      <c r="G52" s="492"/>
      <c r="H52" s="492"/>
      <c r="I52" s="492"/>
      <c r="J52" s="492"/>
      <c r="K52" s="492"/>
      <c r="L52" s="492"/>
      <c r="M52" s="492"/>
      <c r="N52" s="115" t="s">
        <v>118</v>
      </c>
      <c r="O52" s="115">
        <v>90</v>
      </c>
      <c r="P52" s="493"/>
      <c r="Q52" s="494"/>
      <c r="R52" s="3" t="str">
        <f>B52</f>
        <v>ЗРУ 6 кВ</v>
      </c>
      <c r="S52" s="3" t="s">
        <v>50</v>
      </c>
    </row>
    <row r="53" spans="1:19" ht="22.5" customHeight="1" x14ac:dyDescent="0.25">
      <c r="A53" s="82" t="s">
        <v>11</v>
      </c>
      <c r="B53" s="435"/>
      <c r="C53" s="116" t="s">
        <v>102</v>
      </c>
      <c r="D53" s="117" t="s">
        <v>59</v>
      </c>
      <c r="E53" s="117" t="s">
        <v>210</v>
      </c>
      <c r="F53" s="489" t="s">
        <v>121</v>
      </c>
      <c r="G53" s="490"/>
      <c r="H53" s="490"/>
      <c r="I53" s="490"/>
      <c r="J53" s="490"/>
      <c r="K53" s="490"/>
      <c r="L53" s="490"/>
      <c r="M53" s="491"/>
      <c r="N53" s="118" t="s">
        <v>118</v>
      </c>
      <c r="O53" s="118">
        <v>90</v>
      </c>
      <c r="P53" s="495"/>
      <c r="Q53" s="496"/>
      <c r="R53" s="3" t="str">
        <f>R52</f>
        <v>ЗРУ 6 кВ</v>
      </c>
      <c r="S53" s="3" t="s">
        <v>50</v>
      </c>
    </row>
    <row r="54" spans="1:19" ht="22.5" customHeight="1" x14ac:dyDescent="0.25">
      <c r="A54" s="82" t="s">
        <v>8</v>
      </c>
      <c r="B54" s="435"/>
      <c r="C54" s="116" t="s">
        <v>103</v>
      </c>
      <c r="D54" s="117" t="s">
        <v>59</v>
      </c>
      <c r="E54" s="117" t="s">
        <v>242</v>
      </c>
      <c r="F54" s="489" t="s">
        <v>118</v>
      </c>
      <c r="G54" s="490"/>
      <c r="H54" s="490"/>
      <c r="I54" s="490"/>
      <c r="J54" s="490"/>
      <c r="K54" s="490"/>
      <c r="L54" s="490"/>
      <c r="M54" s="491"/>
      <c r="N54" s="118" t="s">
        <v>122</v>
      </c>
      <c r="O54" s="118">
        <v>45</v>
      </c>
      <c r="P54" s="487"/>
      <c r="Q54" s="488"/>
      <c r="R54" s="3" t="str">
        <f t="shared" ref="R54:R71" si="3">R53</f>
        <v>ЗРУ 6 кВ</v>
      </c>
      <c r="S54" s="3" t="s">
        <v>50</v>
      </c>
    </row>
    <row r="55" spans="1:19" ht="22.5" customHeight="1" x14ac:dyDescent="0.25">
      <c r="A55" s="82" t="s">
        <v>11</v>
      </c>
      <c r="B55" s="435"/>
      <c r="C55" s="116" t="s">
        <v>104</v>
      </c>
      <c r="D55" s="117" t="s">
        <v>59</v>
      </c>
      <c r="E55" s="117" t="s">
        <v>243</v>
      </c>
      <c r="F55" s="489" t="s">
        <v>118</v>
      </c>
      <c r="G55" s="490"/>
      <c r="H55" s="490"/>
      <c r="I55" s="490"/>
      <c r="J55" s="490"/>
      <c r="K55" s="490"/>
      <c r="L55" s="490"/>
      <c r="M55" s="491"/>
      <c r="N55" s="118" t="s">
        <v>122</v>
      </c>
      <c r="O55" s="118">
        <v>30</v>
      </c>
      <c r="P55" s="487"/>
      <c r="Q55" s="488"/>
      <c r="R55" s="3" t="str">
        <f t="shared" si="3"/>
        <v>ЗРУ 6 кВ</v>
      </c>
      <c r="S55" s="3" t="s">
        <v>50</v>
      </c>
    </row>
    <row r="56" spans="1:19" ht="22.5" customHeight="1" x14ac:dyDescent="0.25">
      <c r="A56" s="82" t="s">
        <v>11</v>
      </c>
      <c r="B56" s="435"/>
      <c r="C56" s="116" t="s">
        <v>119</v>
      </c>
      <c r="D56" s="117" t="s">
        <v>59</v>
      </c>
      <c r="E56" s="117" t="s">
        <v>242</v>
      </c>
      <c r="F56" s="489" t="s">
        <v>118</v>
      </c>
      <c r="G56" s="490"/>
      <c r="H56" s="490"/>
      <c r="I56" s="490"/>
      <c r="J56" s="490"/>
      <c r="K56" s="490"/>
      <c r="L56" s="490"/>
      <c r="M56" s="491"/>
      <c r="N56" s="118" t="s">
        <v>123</v>
      </c>
      <c r="O56" s="118">
        <v>45</v>
      </c>
      <c r="P56" s="487"/>
      <c r="Q56" s="488"/>
      <c r="R56" s="3" t="str">
        <f t="shared" si="3"/>
        <v>ЗРУ 6 кВ</v>
      </c>
      <c r="S56" s="3" t="s">
        <v>50</v>
      </c>
    </row>
    <row r="57" spans="1:19" ht="22.5" customHeight="1" x14ac:dyDescent="0.25">
      <c r="A57" s="82" t="s">
        <v>11</v>
      </c>
      <c r="B57" s="435"/>
      <c r="C57" s="116" t="s">
        <v>105</v>
      </c>
      <c r="D57" s="117" t="s">
        <v>59</v>
      </c>
      <c r="E57" s="117" t="s">
        <v>243</v>
      </c>
      <c r="F57" s="489" t="s">
        <v>118</v>
      </c>
      <c r="G57" s="490"/>
      <c r="H57" s="490"/>
      <c r="I57" s="490"/>
      <c r="J57" s="490"/>
      <c r="K57" s="490"/>
      <c r="L57" s="490"/>
      <c r="M57" s="491"/>
      <c r="N57" s="118" t="s">
        <v>123</v>
      </c>
      <c r="O57" s="118">
        <v>30</v>
      </c>
      <c r="P57" s="487"/>
      <c r="Q57" s="488"/>
      <c r="R57" s="3" t="str">
        <f t="shared" si="3"/>
        <v>ЗРУ 6 кВ</v>
      </c>
      <c r="S57" s="3" t="s">
        <v>50</v>
      </c>
    </row>
    <row r="58" spans="1:19" ht="22.5" customHeight="1" x14ac:dyDescent="0.25">
      <c r="A58" s="82" t="s">
        <v>8</v>
      </c>
      <c r="B58" s="435"/>
      <c r="C58" s="116" t="s">
        <v>106</v>
      </c>
      <c r="D58" s="117" t="s">
        <v>59</v>
      </c>
      <c r="E58" s="117" t="s">
        <v>242</v>
      </c>
      <c r="F58" s="489" t="s">
        <v>118</v>
      </c>
      <c r="G58" s="490"/>
      <c r="H58" s="490"/>
      <c r="I58" s="490"/>
      <c r="J58" s="490"/>
      <c r="K58" s="490"/>
      <c r="L58" s="490"/>
      <c r="M58" s="491"/>
      <c r="N58" s="118" t="s">
        <v>124</v>
      </c>
      <c r="O58" s="118">
        <v>50</v>
      </c>
      <c r="P58" s="487"/>
      <c r="Q58" s="488"/>
      <c r="R58" s="3" t="str">
        <f t="shared" si="3"/>
        <v>ЗРУ 6 кВ</v>
      </c>
      <c r="S58" s="3" t="s">
        <v>50</v>
      </c>
    </row>
    <row r="59" spans="1:19" ht="22.5" customHeight="1" x14ac:dyDescent="0.25">
      <c r="A59" s="82" t="s">
        <v>8</v>
      </c>
      <c r="B59" s="435"/>
      <c r="C59" s="116" t="s">
        <v>107</v>
      </c>
      <c r="D59" s="117" t="s">
        <v>59</v>
      </c>
      <c r="E59" s="117" t="s">
        <v>244</v>
      </c>
      <c r="F59" s="489" t="s">
        <v>118</v>
      </c>
      <c r="G59" s="490"/>
      <c r="H59" s="490"/>
      <c r="I59" s="490"/>
      <c r="J59" s="490"/>
      <c r="K59" s="490"/>
      <c r="L59" s="490"/>
      <c r="M59" s="491"/>
      <c r="N59" s="118" t="s">
        <v>125</v>
      </c>
      <c r="O59" s="118">
        <v>70</v>
      </c>
      <c r="P59" s="487"/>
      <c r="Q59" s="488"/>
      <c r="R59" s="3" t="str">
        <f t="shared" si="3"/>
        <v>ЗРУ 6 кВ</v>
      </c>
      <c r="S59" s="3" t="s">
        <v>50</v>
      </c>
    </row>
    <row r="60" spans="1:19" ht="22.5" customHeight="1" x14ac:dyDescent="0.25">
      <c r="A60" s="82" t="s">
        <v>8</v>
      </c>
      <c r="B60" s="435"/>
      <c r="C60" s="116" t="s">
        <v>108</v>
      </c>
      <c r="D60" s="117" t="s">
        <v>59</v>
      </c>
      <c r="E60" s="117" t="s">
        <v>188</v>
      </c>
      <c r="F60" s="489" t="s">
        <v>118</v>
      </c>
      <c r="G60" s="490"/>
      <c r="H60" s="490"/>
      <c r="I60" s="490"/>
      <c r="J60" s="490"/>
      <c r="K60" s="490"/>
      <c r="L60" s="490"/>
      <c r="M60" s="491"/>
      <c r="N60" s="118" t="s">
        <v>126</v>
      </c>
      <c r="O60" s="118">
        <v>25</v>
      </c>
      <c r="P60" s="487"/>
      <c r="Q60" s="488"/>
      <c r="R60" s="3" t="str">
        <f t="shared" si="3"/>
        <v>ЗРУ 6 кВ</v>
      </c>
      <c r="S60" s="3" t="s">
        <v>50</v>
      </c>
    </row>
    <row r="61" spans="1:19" ht="22.5" customHeight="1" x14ac:dyDescent="0.25">
      <c r="A61" s="82" t="s">
        <v>11</v>
      </c>
      <c r="B61" s="435"/>
      <c r="C61" s="116" t="s">
        <v>109</v>
      </c>
      <c r="D61" s="117" t="s">
        <v>59</v>
      </c>
      <c r="E61" s="117" t="s">
        <v>188</v>
      </c>
      <c r="F61" s="489" t="s">
        <v>118</v>
      </c>
      <c r="G61" s="490"/>
      <c r="H61" s="490"/>
      <c r="I61" s="490"/>
      <c r="J61" s="490"/>
      <c r="K61" s="490"/>
      <c r="L61" s="490"/>
      <c r="M61" s="491"/>
      <c r="N61" s="118" t="s">
        <v>127</v>
      </c>
      <c r="O61" s="118">
        <v>25</v>
      </c>
      <c r="P61" s="487"/>
      <c r="Q61" s="488"/>
      <c r="R61" s="3" t="str">
        <f t="shared" si="3"/>
        <v>ЗРУ 6 кВ</v>
      </c>
      <c r="S61" s="3" t="s">
        <v>50</v>
      </c>
    </row>
    <row r="62" spans="1:19" ht="22.5" customHeight="1" x14ac:dyDescent="0.25">
      <c r="A62" s="82" t="s">
        <v>11</v>
      </c>
      <c r="B62" s="435"/>
      <c r="C62" s="116" t="s">
        <v>110</v>
      </c>
      <c r="D62" s="117" t="s">
        <v>59</v>
      </c>
      <c r="E62" s="117" t="s">
        <v>188</v>
      </c>
      <c r="F62" s="489" t="s">
        <v>118</v>
      </c>
      <c r="G62" s="490"/>
      <c r="H62" s="490"/>
      <c r="I62" s="490"/>
      <c r="J62" s="490"/>
      <c r="K62" s="490"/>
      <c r="L62" s="490"/>
      <c r="M62" s="491"/>
      <c r="N62" s="118" t="s">
        <v>128</v>
      </c>
      <c r="O62" s="118">
        <v>5</v>
      </c>
      <c r="P62" s="487"/>
      <c r="Q62" s="488"/>
      <c r="R62" s="3" t="str">
        <f t="shared" si="3"/>
        <v>ЗРУ 6 кВ</v>
      </c>
      <c r="S62" s="3" t="s">
        <v>50</v>
      </c>
    </row>
    <row r="63" spans="1:19" ht="22.5" customHeight="1" x14ac:dyDescent="0.25">
      <c r="A63" s="82" t="s">
        <v>11</v>
      </c>
      <c r="B63" s="435"/>
      <c r="C63" s="116" t="s">
        <v>111</v>
      </c>
      <c r="D63" s="117" t="s">
        <v>59</v>
      </c>
      <c r="E63" s="117" t="s">
        <v>188</v>
      </c>
      <c r="F63" s="489" t="s">
        <v>118</v>
      </c>
      <c r="G63" s="490"/>
      <c r="H63" s="490"/>
      <c r="I63" s="490"/>
      <c r="J63" s="490"/>
      <c r="K63" s="490"/>
      <c r="L63" s="490"/>
      <c r="M63" s="491"/>
      <c r="N63" s="118" t="s">
        <v>129</v>
      </c>
      <c r="O63" s="118">
        <v>5</v>
      </c>
      <c r="P63" s="487"/>
      <c r="Q63" s="488"/>
      <c r="R63" s="3" t="str">
        <f t="shared" si="3"/>
        <v>ЗРУ 6 кВ</v>
      </c>
      <c r="S63" s="3" t="s">
        <v>50</v>
      </c>
    </row>
    <row r="64" spans="1:19" ht="22.5" customHeight="1" x14ac:dyDescent="0.25">
      <c r="A64" s="82" t="s">
        <v>11</v>
      </c>
      <c r="B64" s="435"/>
      <c r="C64" s="116" t="s">
        <v>112</v>
      </c>
      <c r="D64" s="117" t="s">
        <v>59</v>
      </c>
      <c r="E64" s="117" t="s">
        <v>245</v>
      </c>
      <c r="F64" s="489" t="s">
        <v>118</v>
      </c>
      <c r="G64" s="490"/>
      <c r="H64" s="490"/>
      <c r="I64" s="490"/>
      <c r="J64" s="490"/>
      <c r="K64" s="490"/>
      <c r="L64" s="490"/>
      <c r="M64" s="491"/>
      <c r="N64" s="118" t="s">
        <v>130</v>
      </c>
      <c r="O64" s="118">
        <v>10</v>
      </c>
      <c r="P64" s="487"/>
      <c r="Q64" s="488"/>
      <c r="R64" s="3" t="str">
        <f t="shared" si="3"/>
        <v>ЗРУ 6 кВ</v>
      </c>
      <c r="S64" s="3" t="s">
        <v>50</v>
      </c>
    </row>
    <row r="65" spans="1:19" ht="22.5" customHeight="1" x14ac:dyDescent="0.25">
      <c r="A65" s="82" t="s">
        <v>8</v>
      </c>
      <c r="B65" s="435"/>
      <c r="C65" s="116" t="s">
        <v>113</v>
      </c>
      <c r="D65" s="117" t="s">
        <v>59</v>
      </c>
      <c r="E65" s="117" t="s">
        <v>244</v>
      </c>
      <c r="F65" s="489" t="s">
        <v>118</v>
      </c>
      <c r="G65" s="490"/>
      <c r="H65" s="490"/>
      <c r="I65" s="490"/>
      <c r="J65" s="490"/>
      <c r="K65" s="490"/>
      <c r="L65" s="490"/>
      <c r="M65" s="491"/>
      <c r="N65" s="118" t="s">
        <v>130</v>
      </c>
      <c r="O65" s="118">
        <v>50</v>
      </c>
      <c r="P65" s="487"/>
      <c r="Q65" s="488"/>
      <c r="R65" s="3" t="str">
        <f t="shared" si="3"/>
        <v>ЗРУ 6 кВ</v>
      </c>
      <c r="S65" s="3" t="s">
        <v>50</v>
      </c>
    </row>
    <row r="66" spans="1:19" ht="22.5" customHeight="1" x14ac:dyDescent="0.25">
      <c r="A66" s="82" t="s">
        <v>11</v>
      </c>
      <c r="B66" s="435"/>
      <c r="C66" s="116" t="s">
        <v>114</v>
      </c>
      <c r="D66" s="117" t="s">
        <v>59</v>
      </c>
      <c r="E66" s="117" t="s">
        <v>244</v>
      </c>
      <c r="F66" s="489" t="s">
        <v>118</v>
      </c>
      <c r="G66" s="490"/>
      <c r="H66" s="490"/>
      <c r="I66" s="490"/>
      <c r="J66" s="490"/>
      <c r="K66" s="490"/>
      <c r="L66" s="490"/>
      <c r="M66" s="491"/>
      <c r="N66" s="118" t="s">
        <v>131</v>
      </c>
      <c r="O66" s="118">
        <v>20</v>
      </c>
      <c r="P66" s="487"/>
      <c r="Q66" s="488"/>
      <c r="R66" s="3" t="str">
        <f t="shared" si="3"/>
        <v>ЗРУ 6 кВ</v>
      </c>
      <c r="S66" s="3" t="s">
        <v>50</v>
      </c>
    </row>
    <row r="67" spans="1:19" ht="22.5" customHeight="1" x14ac:dyDescent="0.25">
      <c r="A67" s="82" t="s">
        <v>8</v>
      </c>
      <c r="B67" s="435"/>
      <c r="C67" s="116" t="s">
        <v>115</v>
      </c>
      <c r="D67" s="117" t="s">
        <v>59</v>
      </c>
      <c r="E67" s="117" t="s">
        <v>198</v>
      </c>
      <c r="F67" s="497" t="s">
        <v>132</v>
      </c>
      <c r="G67" s="497"/>
      <c r="H67" s="497"/>
      <c r="I67" s="497"/>
      <c r="J67" s="497"/>
      <c r="K67" s="497"/>
      <c r="L67" s="497"/>
      <c r="M67" s="497"/>
      <c r="N67" s="118" t="s">
        <v>117</v>
      </c>
      <c r="O67" s="118">
        <v>100</v>
      </c>
      <c r="P67" s="487"/>
      <c r="Q67" s="488"/>
      <c r="R67" s="3" t="str">
        <f t="shared" si="3"/>
        <v>ЗРУ 6 кВ</v>
      </c>
      <c r="S67" s="3" t="s">
        <v>50</v>
      </c>
    </row>
    <row r="68" spans="1:19" ht="22.5" customHeight="1" x14ac:dyDescent="0.25">
      <c r="A68" s="82" t="s">
        <v>8</v>
      </c>
      <c r="B68" s="435"/>
      <c r="C68" s="116" t="s">
        <v>116</v>
      </c>
      <c r="D68" s="122" t="s">
        <v>60</v>
      </c>
      <c r="E68" s="117" t="s">
        <v>242</v>
      </c>
      <c r="F68" s="497" t="s">
        <v>117</v>
      </c>
      <c r="G68" s="497"/>
      <c r="H68" s="497"/>
      <c r="I68" s="497"/>
      <c r="J68" s="497"/>
      <c r="K68" s="497"/>
      <c r="L68" s="497"/>
      <c r="M68" s="497"/>
      <c r="N68" s="118" t="s">
        <v>133</v>
      </c>
      <c r="O68" s="118">
        <v>55</v>
      </c>
      <c r="P68" s="487"/>
      <c r="Q68" s="488"/>
      <c r="R68" s="3" t="str">
        <f t="shared" si="3"/>
        <v>ЗРУ 6 кВ</v>
      </c>
      <c r="S68" s="3" t="s">
        <v>50</v>
      </c>
    </row>
    <row r="69" spans="1:19" ht="22.5" customHeight="1" x14ac:dyDescent="0.25">
      <c r="A69" s="82" t="s">
        <v>8</v>
      </c>
      <c r="B69" s="435"/>
      <c r="C69" s="116" t="s">
        <v>116</v>
      </c>
      <c r="D69" s="117" t="s">
        <v>59</v>
      </c>
      <c r="E69" s="117" t="s">
        <v>242</v>
      </c>
      <c r="F69" s="497" t="s">
        <v>117</v>
      </c>
      <c r="G69" s="497"/>
      <c r="H69" s="497"/>
      <c r="I69" s="497"/>
      <c r="J69" s="497"/>
      <c r="K69" s="497"/>
      <c r="L69" s="497"/>
      <c r="M69" s="497"/>
      <c r="N69" s="118" t="s">
        <v>134</v>
      </c>
      <c r="O69" s="118">
        <v>55</v>
      </c>
      <c r="P69" s="487"/>
      <c r="Q69" s="488"/>
      <c r="R69" s="3" t="str">
        <f t="shared" si="3"/>
        <v>ЗРУ 6 кВ</v>
      </c>
      <c r="S69" s="3" t="s">
        <v>50</v>
      </c>
    </row>
    <row r="70" spans="1:19" ht="22.5" customHeight="1" x14ac:dyDescent="0.25">
      <c r="A70" s="82" t="s">
        <v>11</v>
      </c>
      <c r="B70" s="435"/>
      <c r="C70" s="116"/>
      <c r="D70" s="117"/>
      <c r="E70" s="117"/>
      <c r="F70" s="497"/>
      <c r="G70" s="497"/>
      <c r="H70" s="497"/>
      <c r="I70" s="497"/>
      <c r="J70" s="497"/>
      <c r="K70" s="497"/>
      <c r="L70" s="497"/>
      <c r="M70" s="497"/>
      <c r="N70" s="118"/>
      <c r="O70" s="118"/>
      <c r="P70" s="487"/>
      <c r="Q70" s="488"/>
      <c r="R70" s="3" t="str">
        <f t="shared" si="3"/>
        <v>ЗРУ 6 кВ</v>
      </c>
      <c r="S70" s="3" t="s">
        <v>50</v>
      </c>
    </row>
    <row r="71" spans="1:19" ht="22.5" customHeight="1" thickBot="1" x14ac:dyDescent="0.3">
      <c r="A71" s="82" t="s">
        <v>11</v>
      </c>
      <c r="B71" s="435"/>
      <c r="C71" s="119"/>
      <c r="D71" s="120"/>
      <c r="E71" s="120"/>
      <c r="F71" s="498"/>
      <c r="G71" s="498"/>
      <c r="H71" s="498"/>
      <c r="I71" s="498"/>
      <c r="J71" s="498"/>
      <c r="K71" s="498"/>
      <c r="L71" s="498"/>
      <c r="M71" s="498"/>
      <c r="N71" s="121"/>
      <c r="O71" s="121"/>
      <c r="P71" s="499"/>
      <c r="Q71" s="500"/>
      <c r="R71" s="3" t="str">
        <f t="shared" si="3"/>
        <v>ЗРУ 6 кВ</v>
      </c>
      <c r="S71" s="3" t="s">
        <v>50</v>
      </c>
    </row>
    <row r="72" spans="1:19" ht="13.5" customHeight="1" thickBot="1" x14ac:dyDescent="0.3">
      <c r="B72" s="29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96"/>
      <c r="P72" s="30"/>
      <c r="Q72" s="31"/>
      <c r="S72" s="3" t="s">
        <v>50</v>
      </c>
    </row>
    <row r="73" spans="1:19" s="4" customFormat="1" ht="13.5" customHeight="1" thickBot="1" x14ac:dyDescent="0.3">
      <c r="B73" s="97"/>
      <c r="C73" s="98"/>
      <c r="D73" s="98"/>
      <c r="E73" s="98"/>
      <c r="F73" s="98"/>
      <c r="G73" s="102"/>
      <c r="H73" s="102"/>
      <c r="I73" s="102"/>
      <c r="J73" s="102"/>
      <c r="K73" s="102"/>
      <c r="L73" s="102"/>
      <c r="M73" s="477" t="str">
        <f>Содержание!AJ29</f>
        <v>29-КМЧ-2015-027-ЭП.С</v>
      </c>
      <c r="N73" s="477"/>
      <c r="O73" s="477"/>
      <c r="P73" s="477"/>
      <c r="Q73" s="103" t="s">
        <v>18</v>
      </c>
      <c r="S73" s="3" t="s">
        <v>50</v>
      </c>
    </row>
    <row r="74" spans="1:19" s="4" customFormat="1" ht="13.5" customHeight="1" x14ac:dyDescent="0.25">
      <c r="B74" s="97"/>
      <c r="C74" s="98"/>
      <c r="D74" s="98"/>
      <c r="E74" s="98"/>
      <c r="F74" s="98"/>
      <c r="G74" s="112"/>
      <c r="H74" s="112"/>
      <c r="I74" s="112"/>
      <c r="J74" s="112"/>
      <c r="K74" s="112"/>
      <c r="L74" s="112"/>
      <c r="M74" s="501"/>
      <c r="N74" s="501"/>
      <c r="O74" s="501"/>
      <c r="P74" s="501"/>
      <c r="Q74" s="474">
        <f t="shared" ref="Q74" si="4">Q50+1</f>
        <v>5</v>
      </c>
      <c r="S74" s="3" t="s">
        <v>50</v>
      </c>
    </row>
    <row r="75" spans="1:19" s="4" customFormat="1" ht="13.5" customHeight="1" thickBot="1" x14ac:dyDescent="0.3">
      <c r="B75" s="99"/>
      <c r="C75" s="100"/>
      <c r="D75" s="100"/>
      <c r="E75" s="100"/>
      <c r="F75" s="100"/>
      <c r="G75" s="95" t="s">
        <v>25</v>
      </c>
      <c r="H75" s="88" t="s">
        <v>24</v>
      </c>
      <c r="I75" s="95" t="s">
        <v>18</v>
      </c>
      <c r="J75" s="95" t="s">
        <v>23</v>
      </c>
      <c r="K75" s="95" t="s">
        <v>22</v>
      </c>
      <c r="L75" s="95" t="s">
        <v>21</v>
      </c>
      <c r="M75" s="479"/>
      <c r="N75" s="479"/>
      <c r="O75" s="479"/>
      <c r="P75" s="479"/>
      <c r="Q75" s="475"/>
      <c r="S75" s="3" t="s">
        <v>50</v>
      </c>
    </row>
    <row r="76" spans="1:19" ht="22.5" customHeight="1" x14ac:dyDescent="0.25">
      <c r="A76" s="82" t="s">
        <v>11</v>
      </c>
      <c r="B76" s="434" t="str">
        <f>Содержание!G11</f>
        <v>ОПУ совмещенный с КРУЭ. Освещение и штепсельная сеть</v>
      </c>
      <c r="C76" s="113" t="s">
        <v>136</v>
      </c>
      <c r="D76" s="123" t="s">
        <v>60</v>
      </c>
      <c r="E76" s="114" t="s">
        <v>193</v>
      </c>
      <c r="F76" s="503" t="s">
        <v>147</v>
      </c>
      <c r="G76" s="504"/>
      <c r="H76" s="504"/>
      <c r="I76" s="504"/>
      <c r="J76" s="504"/>
      <c r="K76" s="504"/>
      <c r="L76" s="504"/>
      <c r="M76" s="505"/>
      <c r="N76" s="115" t="s">
        <v>184</v>
      </c>
      <c r="O76" s="115">
        <v>34</v>
      </c>
      <c r="P76" s="506"/>
      <c r="Q76" s="507"/>
      <c r="R76" s="3" t="str">
        <f>B76</f>
        <v>ОПУ совмещенный с КРУЭ. Освещение и штепсельная сеть</v>
      </c>
      <c r="S76" s="3" t="s">
        <v>50</v>
      </c>
    </row>
    <row r="77" spans="1:19" ht="22.5" customHeight="1" x14ac:dyDescent="0.25">
      <c r="A77" s="82" t="s">
        <v>11</v>
      </c>
      <c r="B77" s="435"/>
      <c r="C77" s="116" t="s">
        <v>137</v>
      </c>
      <c r="D77" s="122" t="s">
        <v>60</v>
      </c>
      <c r="E77" s="117" t="s">
        <v>242</v>
      </c>
      <c r="F77" s="489" t="s">
        <v>184</v>
      </c>
      <c r="G77" s="490"/>
      <c r="H77" s="490"/>
      <c r="I77" s="490"/>
      <c r="J77" s="490"/>
      <c r="K77" s="490"/>
      <c r="L77" s="490"/>
      <c r="M77" s="502"/>
      <c r="N77" s="118" t="s">
        <v>173</v>
      </c>
      <c r="O77" s="118">
        <v>47</v>
      </c>
      <c r="P77" s="487"/>
      <c r="Q77" s="488"/>
      <c r="R77" s="3" t="str">
        <f>R76</f>
        <v>ОПУ совмещенный с КРУЭ. Освещение и штепсельная сеть</v>
      </c>
      <c r="S77" s="3" t="s">
        <v>50</v>
      </c>
    </row>
    <row r="78" spans="1:19" ht="22.5" customHeight="1" x14ac:dyDescent="0.25">
      <c r="A78" s="82" t="s">
        <v>11</v>
      </c>
      <c r="B78" s="435"/>
      <c r="C78" s="116" t="s">
        <v>138</v>
      </c>
      <c r="D78" s="122" t="s">
        <v>60</v>
      </c>
      <c r="E78" s="117" t="s">
        <v>242</v>
      </c>
      <c r="F78" s="489" t="s">
        <v>184</v>
      </c>
      <c r="G78" s="490"/>
      <c r="H78" s="490"/>
      <c r="I78" s="490"/>
      <c r="J78" s="490"/>
      <c r="K78" s="490"/>
      <c r="L78" s="490"/>
      <c r="M78" s="502"/>
      <c r="N78" s="118" t="s">
        <v>173</v>
      </c>
      <c r="O78" s="118">
        <v>26</v>
      </c>
      <c r="P78" s="487"/>
      <c r="Q78" s="488"/>
      <c r="R78" s="3" t="str">
        <f t="shared" ref="R78:R95" si="5">R77</f>
        <v>ОПУ совмещенный с КРУЭ. Освещение и штепсельная сеть</v>
      </c>
      <c r="S78" s="3" t="s">
        <v>50</v>
      </c>
    </row>
    <row r="79" spans="1:19" ht="22.5" customHeight="1" x14ac:dyDescent="0.25">
      <c r="A79" s="82" t="s">
        <v>11</v>
      </c>
      <c r="B79" s="435"/>
      <c r="C79" s="116" t="s">
        <v>139</v>
      </c>
      <c r="D79" s="122" t="s">
        <v>60</v>
      </c>
      <c r="E79" s="117" t="s">
        <v>242</v>
      </c>
      <c r="F79" s="489" t="s">
        <v>184</v>
      </c>
      <c r="G79" s="490"/>
      <c r="H79" s="490"/>
      <c r="I79" s="490"/>
      <c r="J79" s="490"/>
      <c r="K79" s="490"/>
      <c r="L79" s="490"/>
      <c r="M79" s="502"/>
      <c r="N79" s="118" t="s">
        <v>173</v>
      </c>
      <c r="O79" s="118">
        <v>23</v>
      </c>
      <c r="P79" s="487"/>
      <c r="Q79" s="488"/>
      <c r="R79" s="3" t="str">
        <f t="shared" si="5"/>
        <v>ОПУ совмещенный с КРУЭ. Освещение и штепсельная сеть</v>
      </c>
      <c r="S79" s="3" t="s">
        <v>50</v>
      </c>
    </row>
    <row r="80" spans="1:19" ht="22.5" customHeight="1" x14ac:dyDescent="0.25">
      <c r="A80" s="82" t="s">
        <v>11</v>
      </c>
      <c r="B80" s="435"/>
      <c r="C80" s="116" t="s">
        <v>140</v>
      </c>
      <c r="D80" s="122" t="s">
        <v>60</v>
      </c>
      <c r="E80" s="117" t="s">
        <v>242</v>
      </c>
      <c r="F80" s="489" t="s">
        <v>184</v>
      </c>
      <c r="G80" s="490"/>
      <c r="H80" s="490"/>
      <c r="I80" s="490"/>
      <c r="J80" s="490"/>
      <c r="K80" s="490"/>
      <c r="L80" s="490"/>
      <c r="M80" s="502"/>
      <c r="N80" s="118" t="s">
        <v>173</v>
      </c>
      <c r="O80" s="118">
        <v>41</v>
      </c>
      <c r="P80" s="487"/>
      <c r="Q80" s="488"/>
      <c r="R80" s="3" t="str">
        <f t="shared" si="5"/>
        <v>ОПУ совмещенный с КРУЭ. Освещение и штепсельная сеть</v>
      </c>
      <c r="S80" s="3" t="s">
        <v>50</v>
      </c>
    </row>
    <row r="81" spans="1:19" ht="22.5" customHeight="1" x14ac:dyDescent="0.25">
      <c r="A81" s="82" t="s">
        <v>11</v>
      </c>
      <c r="B81" s="435"/>
      <c r="C81" s="116" t="s">
        <v>141</v>
      </c>
      <c r="D81" s="122" t="s">
        <v>60</v>
      </c>
      <c r="E81" s="117" t="s">
        <v>242</v>
      </c>
      <c r="F81" s="489" t="s">
        <v>184</v>
      </c>
      <c r="G81" s="490"/>
      <c r="H81" s="490"/>
      <c r="I81" s="490"/>
      <c r="J81" s="490"/>
      <c r="K81" s="490"/>
      <c r="L81" s="490"/>
      <c r="M81" s="502"/>
      <c r="N81" s="118" t="s">
        <v>173</v>
      </c>
      <c r="O81" s="118">
        <v>105</v>
      </c>
      <c r="P81" s="487"/>
      <c r="Q81" s="488"/>
      <c r="R81" s="3" t="str">
        <f t="shared" si="5"/>
        <v>ОПУ совмещенный с КРУЭ. Освещение и штепсельная сеть</v>
      </c>
      <c r="S81" s="3" t="s">
        <v>50</v>
      </c>
    </row>
    <row r="82" spans="1:19" ht="22.5" customHeight="1" x14ac:dyDescent="0.25">
      <c r="A82" s="82" t="s">
        <v>11</v>
      </c>
      <c r="B82" s="435"/>
      <c r="C82" s="116" t="s">
        <v>142</v>
      </c>
      <c r="D82" s="122" t="s">
        <v>60</v>
      </c>
      <c r="E82" s="117" t="s">
        <v>242</v>
      </c>
      <c r="F82" s="489" t="s">
        <v>184</v>
      </c>
      <c r="G82" s="490"/>
      <c r="H82" s="490"/>
      <c r="I82" s="490"/>
      <c r="J82" s="490"/>
      <c r="K82" s="490"/>
      <c r="L82" s="490"/>
      <c r="M82" s="502"/>
      <c r="N82" s="118" t="s">
        <v>173</v>
      </c>
      <c r="O82" s="118">
        <v>119</v>
      </c>
      <c r="P82" s="487"/>
      <c r="Q82" s="488"/>
      <c r="R82" s="3" t="str">
        <f t="shared" si="5"/>
        <v>ОПУ совмещенный с КРУЭ. Освещение и штепсельная сеть</v>
      </c>
      <c r="S82" s="3" t="s">
        <v>50</v>
      </c>
    </row>
    <row r="83" spans="1:19" ht="22.5" customHeight="1" x14ac:dyDescent="0.25">
      <c r="A83" s="82" t="s">
        <v>11</v>
      </c>
      <c r="B83" s="435"/>
      <c r="C83" s="116" t="s">
        <v>143</v>
      </c>
      <c r="D83" s="122" t="s">
        <v>60</v>
      </c>
      <c r="E83" s="117" t="s">
        <v>193</v>
      </c>
      <c r="F83" s="489" t="s">
        <v>147</v>
      </c>
      <c r="G83" s="490"/>
      <c r="H83" s="490"/>
      <c r="I83" s="490"/>
      <c r="J83" s="490"/>
      <c r="K83" s="490"/>
      <c r="L83" s="490"/>
      <c r="M83" s="502"/>
      <c r="N83" s="118" t="s">
        <v>185</v>
      </c>
      <c r="O83" s="118">
        <v>36</v>
      </c>
      <c r="P83" s="487"/>
      <c r="Q83" s="488"/>
      <c r="R83" s="3" t="str">
        <f t="shared" si="5"/>
        <v>ОПУ совмещенный с КРУЭ. Освещение и штепсельная сеть</v>
      </c>
      <c r="S83" s="3" t="s">
        <v>50</v>
      </c>
    </row>
    <row r="84" spans="1:19" ht="22.5" customHeight="1" x14ac:dyDescent="0.25">
      <c r="A84" s="82" t="s">
        <v>11</v>
      </c>
      <c r="B84" s="435"/>
      <c r="C84" s="116" t="s">
        <v>144</v>
      </c>
      <c r="D84" s="122" t="s">
        <v>60</v>
      </c>
      <c r="E84" s="117" t="s">
        <v>242</v>
      </c>
      <c r="F84" s="489" t="s">
        <v>185</v>
      </c>
      <c r="G84" s="490"/>
      <c r="H84" s="490"/>
      <c r="I84" s="490"/>
      <c r="J84" s="490"/>
      <c r="K84" s="490"/>
      <c r="L84" s="490"/>
      <c r="M84" s="502"/>
      <c r="N84" s="118" t="s">
        <v>173</v>
      </c>
      <c r="O84" s="118">
        <v>38</v>
      </c>
      <c r="P84" s="487"/>
      <c r="Q84" s="488"/>
      <c r="R84" s="3" t="str">
        <f t="shared" si="5"/>
        <v>ОПУ совмещенный с КРУЭ. Освещение и штепсельная сеть</v>
      </c>
      <c r="S84" s="3" t="s">
        <v>50</v>
      </c>
    </row>
    <row r="85" spans="1:19" ht="22.5" customHeight="1" x14ac:dyDescent="0.25">
      <c r="A85" s="82" t="s">
        <v>11</v>
      </c>
      <c r="B85" s="435"/>
      <c r="C85" s="116" t="s">
        <v>145</v>
      </c>
      <c r="D85" s="122" t="s">
        <v>60</v>
      </c>
      <c r="E85" s="117" t="s">
        <v>242</v>
      </c>
      <c r="F85" s="489" t="s">
        <v>185</v>
      </c>
      <c r="G85" s="490"/>
      <c r="H85" s="490"/>
      <c r="I85" s="490"/>
      <c r="J85" s="490"/>
      <c r="K85" s="490"/>
      <c r="L85" s="490"/>
      <c r="M85" s="502"/>
      <c r="N85" s="118" t="s">
        <v>173</v>
      </c>
      <c r="O85" s="118">
        <v>43</v>
      </c>
      <c r="P85" s="487"/>
      <c r="Q85" s="488"/>
      <c r="R85" s="3" t="str">
        <f t="shared" si="5"/>
        <v>ОПУ совмещенный с КРУЭ. Освещение и штепсельная сеть</v>
      </c>
      <c r="S85" s="3" t="s">
        <v>50</v>
      </c>
    </row>
    <row r="86" spans="1:19" ht="22.5" customHeight="1" x14ac:dyDescent="0.25">
      <c r="A86" s="82" t="s">
        <v>11</v>
      </c>
      <c r="B86" s="435"/>
      <c r="C86" s="116" t="s">
        <v>146</v>
      </c>
      <c r="D86" s="122" t="s">
        <v>60</v>
      </c>
      <c r="E86" s="117" t="s">
        <v>242</v>
      </c>
      <c r="F86" s="489" t="s">
        <v>185</v>
      </c>
      <c r="G86" s="490"/>
      <c r="H86" s="490"/>
      <c r="I86" s="490"/>
      <c r="J86" s="490"/>
      <c r="K86" s="490"/>
      <c r="L86" s="490"/>
      <c r="M86" s="502"/>
      <c r="N86" s="118" t="s">
        <v>173</v>
      </c>
      <c r="O86" s="118">
        <v>38</v>
      </c>
      <c r="P86" s="487"/>
      <c r="Q86" s="488"/>
      <c r="R86" s="3" t="str">
        <f t="shared" si="5"/>
        <v>ОПУ совмещенный с КРУЭ. Освещение и штепсельная сеть</v>
      </c>
      <c r="S86" s="3" t="s">
        <v>50</v>
      </c>
    </row>
    <row r="87" spans="1:19" ht="22.5" customHeight="1" x14ac:dyDescent="0.25">
      <c r="A87" s="82" t="s">
        <v>11</v>
      </c>
      <c r="B87" s="435"/>
      <c r="C87" s="116"/>
      <c r="D87" s="117"/>
      <c r="E87" s="117"/>
      <c r="F87" s="497"/>
      <c r="G87" s="497"/>
      <c r="H87" s="497"/>
      <c r="I87" s="497"/>
      <c r="J87" s="497"/>
      <c r="K87" s="497"/>
      <c r="L87" s="497"/>
      <c r="M87" s="497"/>
      <c r="N87" s="118"/>
      <c r="O87" s="118"/>
      <c r="P87" s="487"/>
      <c r="Q87" s="488"/>
      <c r="R87" s="3" t="str">
        <f t="shared" si="5"/>
        <v>ОПУ совмещенный с КРУЭ. Освещение и штепсельная сеть</v>
      </c>
      <c r="S87" s="3" t="s">
        <v>50</v>
      </c>
    </row>
    <row r="88" spans="1:19" ht="22.5" customHeight="1" x14ac:dyDescent="0.25">
      <c r="A88" s="82" t="s">
        <v>11</v>
      </c>
      <c r="B88" s="435"/>
      <c r="C88" s="116"/>
      <c r="D88" s="117"/>
      <c r="E88" s="117"/>
      <c r="F88" s="497"/>
      <c r="G88" s="497"/>
      <c r="H88" s="497"/>
      <c r="I88" s="497"/>
      <c r="J88" s="497"/>
      <c r="K88" s="497"/>
      <c r="L88" s="497"/>
      <c r="M88" s="497"/>
      <c r="N88" s="118"/>
      <c r="O88" s="118"/>
      <c r="P88" s="487"/>
      <c r="Q88" s="488"/>
      <c r="R88" s="3" t="str">
        <f t="shared" si="5"/>
        <v>ОПУ совмещенный с КРУЭ. Освещение и штепсельная сеть</v>
      </c>
      <c r="S88" s="3" t="s">
        <v>50</v>
      </c>
    </row>
    <row r="89" spans="1:19" ht="22.5" customHeight="1" x14ac:dyDescent="0.25">
      <c r="A89" s="82" t="s">
        <v>11</v>
      </c>
      <c r="B89" s="435"/>
      <c r="C89" s="116"/>
      <c r="D89" s="117"/>
      <c r="E89" s="117"/>
      <c r="F89" s="497"/>
      <c r="G89" s="497"/>
      <c r="H89" s="497"/>
      <c r="I89" s="497"/>
      <c r="J89" s="497"/>
      <c r="K89" s="497"/>
      <c r="L89" s="497"/>
      <c r="M89" s="497"/>
      <c r="N89" s="118"/>
      <c r="O89" s="118"/>
      <c r="P89" s="487"/>
      <c r="Q89" s="488"/>
      <c r="R89" s="3" t="str">
        <f t="shared" si="5"/>
        <v>ОПУ совмещенный с КРУЭ. Освещение и штепсельная сеть</v>
      </c>
      <c r="S89" s="3" t="s">
        <v>50</v>
      </c>
    </row>
    <row r="90" spans="1:19" ht="22.5" customHeight="1" x14ac:dyDescent="0.25">
      <c r="A90" s="82" t="s">
        <v>11</v>
      </c>
      <c r="B90" s="435"/>
      <c r="C90" s="116"/>
      <c r="D90" s="117"/>
      <c r="E90" s="117"/>
      <c r="F90" s="497"/>
      <c r="G90" s="497"/>
      <c r="H90" s="497"/>
      <c r="I90" s="497"/>
      <c r="J90" s="497"/>
      <c r="K90" s="497"/>
      <c r="L90" s="497"/>
      <c r="M90" s="497"/>
      <c r="N90" s="118"/>
      <c r="O90" s="118"/>
      <c r="P90" s="487"/>
      <c r="Q90" s="488"/>
      <c r="R90" s="3" t="str">
        <f t="shared" si="5"/>
        <v>ОПУ совмещенный с КРУЭ. Освещение и штепсельная сеть</v>
      </c>
      <c r="S90" s="3" t="s">
        <v>50</v>
      </c>
    </row>
    <row r="91" spans="1:19" ht="22.5" customHeight="1" x14ac:dyDescent="0.25">
      <c r="A91" s="82" t="s">
        <v>11</v>
      </c>
      <c r="B91" s="435"/>
      <c r="C91" s="116"/>
      <c r="D91" s="117"/>
      <c r="E91" s="117"/>
      <c r="F91" s="497"/>
      <c r="G91" s="497"/>
      <c r="H91" s="497"/>
      <c r="I91" s="497"/>
      <c r="J91" s="497"/>
      <c r="K91" s="497"/>
      <c r="L91" s="497"/>
      <c r="M91" s="497"/>
      <c r="N91" s="118"/>
      <c r="O91" s="118"/>
      <c r="P91" s="487"/>
      <c r="Q91" s="488"/>
      <c r="R91" s="3" t="str">
        <f t="shared" si="5"/>
        <v>ОПУ совмещенный с КРУЭ. Освещение и штепсельная сеть</v>
      </c>
      <c r="S91" s="3" t="s">
        <v>50</v>
      </c>
    </row>
    <row r="92" spans="1:19" ht="22.5" customHeight="1" x14ac:dyDescent="0.25">
      <c r="A92" s="82" t="s">
        <v>11</v>
      </c>
      <c r="B92" s="435"/>
      <c r="C92" s="116"/>
      <c r="D92" s="117"/>
      <c r="E92" s="117"/>
      <c r="F92" s="497"/>
      <c r="G92" s="497"/>
      <c r="H92" s="497"/>
      <c r="I92" s="497"/>
      <c r="J92" s="497"/>
      <c r="K92" s="497"/>
      <c r="L92" s="497"/>
      <c r="M92" s="497"/>
      <c r="N92" s="118"/>
      <c r="O92" s="118"/>
      <c r="P92" s="487"/>
      <c r="Q92" s="488"/>
      <c r="R92" s="3" t="str">
        <f t="shared" si="5"/>
        <v>ОПУ совмещенный с КРУЭ. Освещение и штепсельная сеть</v>
      </c>
      <c r="S92" s="3" t="s">
        <v>50</v>
      </c>
    </row>
    <row r="93" spans="1:19" ht="22.5" customHeight="1" x14ac:dyDescent="0.25">
      <c r="A93" s="82" t="s">
        <v>11</v>
      </c>
      <c r="B93" s="435"/>
      <c r="C93" s="116"/>
      <c r="D93" s="117"/>
      <c r="E93" s="117"/>
      <c r="F93" s="497"/>
      <c r="G93" s="497"/>
      <c r="H93" s="497"/>
      <c r="I93" s="497"/>
      <c r="J93" s="497"/>
      <c r="K93" s="497"/>
      <c r="L93" s="497"/>
      <c r="M93" s="497"/>
      <c r="N93" s="118"/>
      <c r="O93" s="118"/>
      <c r="P93" s="487"/>
      <c r="Q93" s="488"/>
      <c r="R93" s="3" t="str">
        <f t="shared" si="5"/>
        <v>ОПУ совмещенный с КРУЭ. Освещение и штепсельная сеть</v>
      </c>
      <c r="S93" s="3" t="s">
        <v>50</v>
      </c>
    </row>
    <row r="94" spans="1:19" ht="22.5" customHeight="1" x14ac:dyDescent="0.25">
      <c r="A94" s="82" t="s">
        <v>11</v>
      </c>
      <c r="B94" s="435"/>
      <c r="C94" s="116"/>
      <c r="D94" s="117"/>
      <c r="E94" s="117"/>
      <c r="F94" s="497"/>
      <c r="G94" s="497"/>
      <c r="H94" s="497"/>
      <c r="I94" s="497"/>
      <c r="J94" s="497"/>
      <c r="K94" s="497"/>
      <c r="L94" s="497"/>
      <c r="M94" s="497"/>
      <c r="N94" s="118"/>
      <c r="O94" s="118"/>
      <c r="P94" s="487"/>
      <c r="Q94" s="488"/>
      <c r="R94" s="3" t="str">
        <f t="shared" si="5"/>
        <v>ОПУ совмещенный с КРУЭ. Освещение и штепсельная сеть</v>
      </c>
      <c r="S94" s="3" t="s">
        <v>50</v>
      </c>
    </row>
    <row r="95" spans="1:19" ht="22.5" customHeight="1" thickBot="1" x14ac:dyDescent="0.3">
      <c r="A95" s="82" t="s">
        <v>11</v>
      </c>
      <c r="B95" s="435"/>
      <c r="C95" s="119"/>
      <c r="D95" s="120"/>
      <c r="E95" s="120"/>
      <c r="F95" s="498"/>
      <c r="G95" s="498"/>
      <c r="H95" s="498"/>
      <c r="I95" s="498"/>
      <c r="J95" s="498"/>
      <c r="K95" s="498"/>
      <c r="L95" s="498"/>
      <c r="M95" s="498"/>
      <c r="N95" s="121"/>
      <c r="O95" s="121"/>
      <c r="P95" s="499"/>
      <c r="Q95" s="500"/>
      <c r="R95" s="3" t="str">
        <f t="shared" si="5"/>
        <v>ОПУ совмещенный с КРУЭ. Освещение и штепсельная сеть</v>
      </c>
      <c r="S95" s="3" t="s">
        <v>50</v>
      </c>
    </row>
    <row r="96" spans="1:19" ht="13.5" customHeight="1" thickBot="1" x14ac:dyDescent="0.3">
      <c r="B96" s="29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96"/>
      <c r="P96" s="30"/>
      <c r="Q96" s="31"/>
      <c r="S96" s="3" t="s">
        <v>50</v>
      </c>
    </row>
    <row r="97" spans="1:19" s="4" customFormat="1" ht="13.5" customHeight="1" thickBot="1" x14ac:dyDescent="0.3">
      <c r="B97" s="97"/>
      <c r="C97" s="98"/>
      <c r="D97" s="98"/>
      <c r="E97" s="98"/>
      <c r="F97" s="98"/>
      <c r="G97" s="102"/>
      <c r="H97" s="102"/>
      <c r="I97" s="102"/>
      <c r="J97" s="102"/>
      <c r="K97" s="102"/>
      <c r="L97" s="102"/>
      <c r="M97" s="477" t="str">
        <f>Содержание!$AJ$29</f>
        <v>29-КМЧ-2015-027-ЭП.С</v>
      </c>
      <c r="N97" s="477"/>
      <c r="O97" s="477"/>
      <c r="P97" s="477"/>
      <c r="Q97" s="103" t="s">
        <v>18</v>
      </c>
      <c r="S97" s="3" t="s">
        <v>50</v>
      </c>
    </row>
    <row r="98" spans="1:19" s="4" customFormat="1" ht="13.5" customHeight="1" x14ac:dyDescent="0.25">
      <c r="B98" s="97"/>
      <c r="C98" s="98"/>
      <c r="D98" s="98"/>
      <c r="E98" s="98"/>
      <c r="F98" s="98"/>
      <c r="G98" s="112"/>
      <c r="H98" s="112"/>
      <c r="I98" s="112"/>
      <c r="J98" s="112"/>
      <c r="K98" s="112"/>
      <c r="L98" s="112"/>
      <c r="M98" s="501"/>
      <c r="N98" s="501"/>
      <c r="O98" s="501"/>
      <c r="P98" s="501"/>
      <c r="Q98" s="474">
        <f t="shared" ref="Q98" si="6">Q74+1</f>
        <v>6</v>
      </c>
      <c r="S98" s="3" t="s">
        <v>50</v>
      </c>
    </row>
    <row r="99" spans="1:19" s="4" customFormat="1" ht="13.5" customHeight="1" thickBot="1" x14ac:dyDescent="0.3">
      <c r="B99" s="99"/>
      <c r="C99" s="100"/>
      <c r="D99" s="100"/>
      <c r="E99" s="100"/>
      <c r="F99" s="100"/>
      <c r="G99" s="95" t="s">
        <v>25</v>
      </c>
      <c r="H99" s="88" t="s">
        <v>24</v>
      </c>
      <c r="I99" s="95" t="s">
        <v>18</v>
      </c>
      <c r="J99" s="95" t="s">
        <v>23</v>
      </c>
      <c r="K99" s="95" t="s">
        <v>22</v>
      </c>
      <c r="L99" s="95" t="s">
        <v>21</v>
      </c>
      <c r="M99" s="479"/>
      <c r="N99" s="479"/>
      <c r="O99" s="479"/>
      <c r="P99" s="479"/>
      <c r="Q99" s="475"/>
      <c r="S99" s="3" t="s">
        <v>50</v>
      </c>
    </row>
    <row r="100" spans="1:19" ht="22.5" customHeight="1" x14ac:dyDescent="0.25">
      <c r="A100" s="82" t="s">
        <v>11</v>
      </c>
      <c r="B100" s="434" t="str">
        <f>Содержание!G11</f>
        <v>ОПУ совмещенный с КРУЭ. Освещение и штепсельная сеть</v>
      </c>
      <c r="C100" s="127" t="s">
        <v>148</v>
      </c>
      <c r="D100" s="128" t="s">
        <v>59</v>
      </c>
      <c r="E100" s="128" t="s">
        <v>200</v>
      </c>
      <c r="F100" s="456" t="s">
        <v>174</v>
      </c>
      <c r="G100" s="456"/>
      <c r="H100" s="456"/>
      <c r="I100" s="456"/>
      <c r="J100" s="456"/>
      <c r="K100" s="456"/>
      <c r="L100" s="456"/>
      <c r="M100" s="456"/>
      <c r="N100" s="129" t="s">
        <v>181</v>
      </c>
      <c r="O100" s="129">
        <v>22</v>
      </c>
      <c r="P100" s="454"/>
      <c r="Q100" s="455"/>
      <c r="R100" s="3" t="str">
        <f>B100</f>
        <v>ОПУ совмещенный с КРУЭ. Освещение и штепсельная сеть</v>
      </c>
      <c r="S100" s="3" t="s">
        <v>50</v>
      </c>
    </row>
    <row r="101" spans="1:19" ht="22.5" customHeight="1" x14ac:dyDescent="0.25">
      <c r="A101" s="82" t="s">
        <v>11</v>
      </c>
      <c r="B101" s="435"/>
      <c r="C101" s="130" t="s">
        <v>149</v>
      </c>
      <c r="D101" s="131" t="s">
        <v>59</v>
      </c>
      <c r="E101" s="131" t="s">
        <v>242</v>
      </c>
      <c r="F101" s="303" t="s">
        <v>181</v>
      </c>
      <c r="G101" s="453"/>
      <c r="H101" s="453"/>
      <c r="I101" s="453"/>
      <c r="J101" s="453"/>
      <c r="K101" s="453"/>
      <c r="L101" s="453"/>
      <c r="M101" s="304"/>
      <c r="N101" s="132" t="s">
        <v>175</v>
      </c>
      <c r="O101" s="132">
        <v>58</v>
      </c>
      <c r="P101" s="443"/>
      <c r="Q101" s="444"/>
      <c r="R101" s="3" t="str">
        <f>R100</f>
        <v>ОПУ совмещенный с КРУЭ. Освещение и штепсельная сеть</v>
      </c>
      <c r="S101" s="3" t="s">
        <v>50</v>
      </c>
    </row>
    <row r="102" spans="1:19" ht="22.5" customHeight="1" x14ac:dyDescent="0.25">
      <c r="A102" s="82" t="s">
        <v>11</v>
      </c>
      <c r="B102" s="435"/>
      <c r="C102" s="130" t="s">
        <v>150</v>
      </c>
      <c r="D102" s="131" t="s">
        <v>59</v>
      </c>
      <c r="E102" s="131" t="s">
        <v>243</v>
      </c>
      <c r="F102" s="303" t="s">
        <v>176</v>
      </c>
      <c r="G102" s="453"/>
      <c r="H102" s="453"/>
      <c r="I102" s="453"/>
      <c r="J102" s="453"/>
      <c r="K102" s="453"/>
      <c r="L102" s="453"/>
      <c r="M102" s="304"/>
      <c r="N102" s="132" t="s">
        <v>175</v>
      </c>
      <c r="O102" s="132">
        <v>28</v>
      </c>
      <c r="P102" s="443"/>
      <c r="Q102" s="444"/>
      <c r="R102" s="3" t="str">
        <f t="shared" ref="R102:R119" si="7">R101</f>
        <v>ОПУ совмещенный с КРУЭ. Освещение и штепсельная сеть</v>
      </c>
      <c r="S102" s="3" t="s">
        <v>50</v>
      </c>
    </row>
    <row r="103" spans="1:19" ht="22.5" customHeight="1" x14ac:dyDescent="0.25">
      <c r="A103" s="82" t="s">
        <v>11</v>
      </c>
      <c r="B103" s="435"/>
      <c r="C103" s="130" t="s">
        <v>151</v>
      </c>
      <c r="D103" s="131" t="s">
        <v>59</v>
      </c>
      <c r="E103" s="131" t="s">
        <v>242</v>
      </c>
      <c r="F103" s="303" t="s">
        <v>181</v>
      </c>
      <c r="G103" s="453"/>
      <c r="H103" s="453"/>
      <c r="I103" s="453"/>
      <c r="J103" s="453"/>
      <c r="K103" s="453"/>
      <c r="L103" s="453"/>
      <c r="M103" s="304"/>
      <c r="N103" s="132" t="s">
        <v>175</v>
      </c>
      <c r="O103" s="132">
        <v>67</v>
      </c>
      <c r="P103" s="443"/>
      <c r="Q103" s="444"/>
      <c r="R103" s="3" t="str">
        <f t="shared" si="7"/>
        <v>ОПУ совмещенный с КРУЭ. Освещение и штепсельная сеть</v>
      </c>
      <c r="S103" s="3" t="s">
        <v>50</v>
      </c>
    </row>
    <row r="104" spans="1:19" ht="22.5" customHeight="1" x14ac:dyDescent="0.25">
      <c r="A104" s="82" t="s">
        <v>11</v>
      </c>
      <c r="B104" s="435"/>
      <c r="C104" s="130" t="s">
        <v>152</v>
      </c>
      <c r="D104" s="131" t="s">
        <v>59</v>
      </c>
      <c r="E104" s="131" t="s">
        <v>242</v>
      </c>
      <c r="F104" s="303" t="s">
        <v>181</v>
      </c>
      <c r="G104" s="453"/>
      <c r="H104" s="453"/>
      <c r="I104" s="453"/>
      <c r="J104" s="453"/>
      <c r="K104" s="453"/>
      <c r="L104" s="453"/>
      <c r="M104" s="304"/>
      <c r="N104" s="132" t="s">
        <v>175</v>
      </c>
      <c r="O104" s="132">
        <v>100</v>
      </c>
      <c r="P104" s="443"/>
      <c r="Q104" s="444"/>
      <c r="R104" s="3" t="str">
        <f t="shared" si="7"/>
        <v>ОПУ совмещенный с КРУЭ. Освещение и штепсельная сеть</v>
      </c>
      <c r="S104" s="3" t="s">
        <v>50</v>
      </c>
    </row>
    <row r="105" spans="1:19" ht="22.5" customHeight="1" x14ac:dyDescent="0.25">
      <c r="A105" s="82" t="s">
        <v>11</v>
      </c>
      <c r="B105" s="435"/>
      <c r="C105" s="130" t="s">
        <v>153</v>
      </c>
      <c r="D105" s="131" t="s">
        <v>59</v>
      </c>
      <c r="E105" s="131" t="s">
        <v>243</v>
      </c>
      <c r="F105" s="303" t="s">
        <v>176</v>
      </c>
      <c r="G105" s="453"/>
      <c r="H105" s="453"/>
      <c r="I105" s="453"/>
      <c r="J105" s="453"/>
      <c r="K105" s="453"/>
      <c r="L105" s="453"/>
      <c r="M105" s="304"/>
      <c r="N105" s="132" t="s">
        <v>175</v>
      </c>
      <c r="O105" s="132">
        <v>40</v>
      </c>
      <c r="P105" s="443"/>
      <c r="Q105" s="444"/>
      <c r="R105" s="3" t="str">
        <f t="shared" si="7"/>
        <v>ОПУ совмещенный с КРУЭ. Освещение и штепсельная сеть</v>
      </c>
      <c r="S105" s="3" t="s">
        <v>50</v>
      </c>
    </row>
    <row r="106" spans="1:19" ht="22.5" customHeight="1" x14ac:dyDescent="0.25">
      <c r="A106" s="82" t="s">
        <v>11</v>
      </c>
      <c r="B106" s="435"/>
      <c r="C106" s="130" t="s">
        <v>154</v>
      </c>
      <c r="D106" s="131" t="s">
        <v>59</v>
      </c>
      <c r="E106" s="131" t="s">
        <v>244</v>
      </c>
      <c r="F106" s="303" t="s">
        <v>181</v>
      </c>
      <c r="G106" s="453"/>
      <c r="H106" s="453"/>
      <c r="I106" s="453"/>
      <c r="J106" s="453"/>
      <c r="K106" s="453"/>
      <c r="L106" s="453"/>
      <c r="M106" s="304"/>
      <c r="N106" s="132" t="s">
        <v>177</v>
      </c>
      <c r="O106" s="132">
        <v>19</v>
      </c>
      <c r="P106" s="443"/>
      <c r="Q106" s="444"/>
      <c r="R106" s="3" t="str">
        <f t="shared" si="7"/>
        <v>ОПУ совмещенный с КРУЭ. Освещение и штепсельная сеть</v>
      </c>
      <c r="S106" s="3" t="s">
        <v>50</v>
      </c>
    </row>
    <row r="107" spans="1:19" ht="22.5" customHeight="1" x14ac:dyDescent="0.25">
      <c r="A107" s="82" t="s">
        <v>11</v>
      </c>
      <c r="B107" s="435"/>
      <c r="C107" s="130" t="s">
        <v>155</v>
      </c>
      <c r="D107" s="131" t="s">
        <v>59</v>
      </c>
      <c r="E107" s="131" t="s">
        <v>244</v>
      </c>
      <c r="F107" s="303" t="s">
        <v>181</v>
      </c>
      <c r="G107" s="453"/>
      <c r="H107" s="453"/>
      <c r="I107" s="453"/>
      <c r="J107" s="453"/>
      <c r="K107" s="453"/>
      <c r="L107" s="453"/>
      <c r="M107" s="304"/>
      <c r="N107" s="132" t="s">
        <v>178</v>
      </c>
      <c r="O107" s="132">
        <v>68</v>
      </c>
      <c r="P107" s="443"/>
      <c r="Q107" s="444"/>
      <c r="R107" s="3" t="str">
        <f t="shared" si="7"/>
        <v>ОПУ совмещенный с КРУЭ. Освещение и штепсельная сеть</v>
      </c>
      <c r="S107" s="3" t="s">
        <v>50</v>
      </c>
    </row>
    <row r="108" spans="1:19" ht="22.5" customHeight="1" x14ac:dyDescent="0.25">
      <c r="A108" s="82" t="s">
        <v>11</v>
      </c>
      <c r="B108" s="435"/>
      <c r="C108" s="130" t="s">
        <v>156</v>
      </c>
      <c r="D108" s="131" t="s">
        <v>59</v>
      </c>
      <c r="E108" s="131" t="s">
        <v>244</v>
      </c>
      <c r="F108" s="303" t="s">
        <v>181</v>
      </c>
      <c r="G108" s="453"/>
      <c r="H108" s="453"/>
      <c r="I108" s="453"/>
      <c r="J108" s="453"/>
      <c r="K108" s="453"/>
      <c r="L108" s="453"/>
      <c r="M108" s="304"/>
      <c r="N108" s="132" t="s">
        <v>179</v>
      </c>
      <c r="O108" s="132">
        <v>39</v>
      </c>
      <c r="P108" s="443"/>
      <c r="Q108" s="444"/>
      <c r="R108" s="3" t="str">
        <f t="shared" si="7"/>
        <v>ОПУ совмещенный с КРУЭ. Освещение и штепсельная сеть</v>
      </c>
      <c r="S108" s="3" t="s">
        <v>50</v>
      </c>
    </row>
    <row r="109" spans="1:19" ht="22.5" customHeight="1" x14ac:dyDescent="0.25">
      <c r="A109" s="82" t="s">
        <v>11</v>
      </c>
      <c r="B109" s="435"/>
      <c r="C109" s="130"/>
      <c r="D109" s="131"/>
      <c r="E109" s="131"/>
      <c r="F109" s="303"/>
      <c r="G109" s="453"/>
      <c r="H109" s="453"/>
      <c r="I109" s="453"/>
      <c r="J109" s="453"/>
      <c r="K109" s="453"/>
      <c r="L109" s="453"/>
      <c r="M109" s="304"/>
      <c r="N109" s="132"/>
      <c r="O109" s="132"/>
      <c r="P109" s="443"/>
      <c r="Q109" s="444"/>
      <c r="R109" s="3" t="str">
        <f t="shared" si="7"/>
        <v>ОПУ совмещенный с КРУЭ. Освещение и штепсельная сеть</v>
      </c>
      <c r="S109" s="3" t="s">
        <v>50</v>
      </c>
    </row>
    <row r="110" spans="1:19" ht="22.5" customHeight="1" x14ac:dyDescent="0.25">
      <c r="A110" s="82" t="s">
        <v>11</v>
      </c>
      <c r="B110" s="435"/>
      <c r="C110" s="130"/>
      <c r="D110" s="131"/>
      <c r="E110" s="131"/>
      <c r="F110" s="442"/>
      <c r="G110" s="442"/>
      <c r="H110" s="442"/>
      <c r="I110" s="442"/>
      <c r="J110" s="442"/>
      <c r="K110" s="442"/>
      <c r="L110" s="442"/>
      <c r="M110" s="442"/>
      <c r="N110" s="132"/>
      <c r="O110" s="132"/>
      <c r="P110" s="443"/>
      <c r="Q110" s="444"/>
      <c r="R110" s="3" t="str">
        <f t="shared" si="7"/>
        <v>ОПУ совмещенный с КРУЭ. Освещение и штепсельная сеть</v>
      </c>
      <c r="S110" s="3" t="s">
        <v>50</v>
      </c>
    </row>
    <row r="111" spans="1:19" ht="22.5" customHeight="1" x14ac:dyDescent="0.25">
      <c r="A111" s="82" t="s">
        <v>11</v>
      </c>
      <c r="B111" s="435"/>
      <c r="C111" s="130"/>
      <c r="D111" s="131"/>
      <c r="E111" s="131"/>
      <c r="F111" s="442"/>
      <c r="G111" s="442"/>
      <c r="H111" s="442"/>
      <c r="I111" s="442"/>
      <c r="J111" s="442"/>
      <c r="K111" s="442"/>
      <c r="L111" s="442"/>
      <c r="M111" s="442"/>
      <c r="N111" s="132"/>
      <c r="O111" s="132"/>
      <c r="P111" s="443"/>
      <c r="Q111" s="444"/>
      <c r="R111" s="3" t="str">
        <f t="shared" si="7"/>
        <v>ОПУ совмещенный с КРУЭ. Освещение и штепсельная сеть</v>
      </c>
      <c r="S111" s="3" t="s">
        <v>50</v>
      </c>
    </row>
    <row r="112" spans="1:19" ht="22.5" customHeight="1" x14ac:dyDescent="0.25">
      <c r="A112" s="82" t="s">
        <v>11</v>
      </c>
      <c r="B112" s="435"/>
      <c r="C112" s="130"/>
      <c r="D112" s="131"/>
      <c r="E112" s="131"/>
      <c r="F112" s="442"/>
      <c r="G112" s="442"/>
      <c r="H112" s="442"/>
      <c r="I112" s="442"/>
      <c r="J112" s="442"/>
      <c r="K112" s="442"/>
      <c r="L112" s="442"/>
      <c r="M112" s="442"/>
      <c r="N112" s="132"/>
      <c r="O112" s="132"/>
      <c r="P112" s="443"/>
      <c r="Q112" s="444"/>
      <c r="R112" s="3" t="str">
        <f t="shared" si="7"/>
        <v>ОПУ совмещенный с КРУЭ. Освещение и штепсельная сеть</v>
      </c>
      <c r="S112" s="3" t="s">
        <v>50</v>
      </c>
    </row>
    <row r="113" spans="1:19" ht="22.5" customHeight="1" x14ac:dyDescent="0.25">
      <c r="A113" s="82" t="s">
        <v>11</v>
      </c>
      <c r="B113" s="435"/>
      <c r="C113" s="130"/>
      <c r="D113" s="131"/>
      <c r="E113" s="131"/>
      <c r="F113" s="442"/>
      <c r="G113" s="442"/>
      <c r="H113" s="442"/>
      <c r="I113" s="442"/>
      <c r="J113" s="442"/>
      <c r="K113" s="442"/>
      <c r="L113" s="442"/>
      <c r="M113" s="442"/>
      <c r="N113" s="132"/>
      <c r="O113" s="132"/>
      <c r="P113" s="443"/>
      <c r="Q113" s="444"/>
      <c r="R113" s="3" t="str">
        <f t="shared" si="7"/>
        <v>ОПУ совмещенный с КРУЭ. Освещение и штепсельная сеть</v>
      </c>
      <c r="S113" s="3" t="s">
        <v>50</v>
      </c>
    </row>
    <row r="114" spans="1:19" ht="22.5" customHeight="1" x14ac:dyDescent="0.25">
      <c r="A114" s="82" t="s">
        <v>11</v>
      </c>
      <c r="B114" s="435"/>
      <c r="C114" s="130"/>
      <c r="D114" s="131"/>
      <c r="E114" s="131"/>
      <c r="F114" s="442"/>
      <c r="G114" s="442"/>
      <c r="H114" s="442"/>
      <c r="I114" s="442"/>
      <c r="J114" s="442"/>
      <c r="K114" s="442"/>
      <c r="L114" s="442"/>
      <c r="M114" s="442"/>
      <c r="N114" s="132"/>
      <c r="O114" s="132"/>
      <c r="P114" s="443"/>
      <c r="Q114" s="444"/>
      <c r="R114" s="3" t="str">
        <f t="shared" si="7"/>
        <v>ОПУ совмещенный с КРУЭ. Освещение и штепсельная сеть</v>
      </c>
      <c r="S114" s="3" t="s">
        <v>50</v>
      </c>
    </row>
    <row r="115" spans="1:19" ht="22.5" customHeight="1" x14ac:dyDescent="0.25">
      <c r="A115" s="82" t="s">
        <v>11</v>
      </c>
      <c r="B115" s="435"/>
      <c r="C115" s="130"/>
      <c r="D115" s="131"/>
      <c r="E115" s="131"/>
      <c r="F115" s="442"/>
      <c r="G115" s="442"/>
      <c r="H115" s="442"/>
      <c r="I115" s="442"/>
      <c r="J115" s="442"/>
      <c r="K115" s="442"/>
      <c r="L115" s="442"/>
      <c r="M115" s="442"/>
      <c r="N115" s="132"/>
      <c r="O115" s="132"/>
      <c r="P115" s="443"/>
      <c r="Q115" s="444"/>
      <c r="R115" s="3" t="str">
        <f t="shared" si="7"/>
        <v>ОПУ совмещенный с КРУЭ. Освещение и штепсельная сеть</v>
      </c>
      <c r="S115" s="3" t="s">
        <v>50</v>
      </c>
    </row>
    <row r="116" spans="1:19" ht="22.5" customHeight="1" x14ac:dyDescent="0.25">
      <c r="A116" s="82" t="s">
        <v>11</v>
      </c>
      <c r="B116" s="435"/>
      <c r="C116" s="130"/>
      <c r="D116" s="131"/>
      <c r="E116" s="131"/>
      <c r="F116" s="442"/>
      <c r="G116" s="442"/>
      <c r="H116" s="442"/>
      <c r="I116" s="442"/>
      <c r="J116" s="442"/>
      <c r="K116" s="442"/>
      <c r="L116" s="442"/>
      <c r="M116" s="442"/>
      <c r="N116" s="132"/>
      <c r="O116" s="132"/>
      <c r="P116" s="443"/>
      <c r="Q116" s="444"/>
      <c r="R116" s="3" t="str">
        <f t="shared" si="7"/>
        <v>ОПУ совмещенный с КРУЭ. Освещение и штепсельная сеть</v>
      </c>
      <c r="S116" s="3" t="s">
        <v>50</v>
      </c>
    </row>
    <row r="117" spans="1:19" ht="22.5" customHeight="1" x14ac:dyDescent="0.25">
      <c r="A117" s="82" t="s">
        <v>11</v>
      </c>
      <c r="B117" s="435"/>
      <c r="C117" s="130"/>
      <c r="D117" s="131"/>
      <c r="E117" s="131"/>
      <c r="F117" s="442"/>
      <c r="G117" s="442"/>
      <c r="H117" s="442"/>
      <c r="I117" s="442"/>
      <c r="J117" s="442"/>
      <c r="K117" s="442"/>
      <c r="L117" s="442"/>
      <c r="M117" s="442"/>
      <c r="N117" s="132"/>
      <c r="O117" s="132"/>
      <c r="P117" s="443"/>
      <c r="Q117" s="444"/>
      <c r="R117" s="3" t="str">
        <f t="shared" si="7"/>
        <v>ОПУ совмещенный с КРУЭ. Освещение и штепсельная сеть</v>
      </c>
      <c r="S117" s="3" t="s">
        <v>50</v>
      </c>
    </row>
    <row r="118" spans="1:19" ht="22.5" customHeight="1" x14ac:dyDescent="0.25">
      <c r="A118" s="82" t="s">
        <v>11</v>
      </c>
      <c r="B118" s="435"/>
      <c r="C118" s="130"/>
      <c r="D118" s="131"/>
      <c r="E118" s="131"/>
      <c r="F118" s="442"/>
      <c r="G118" s="442"/>
      <c r="H118" s="442"/>
      <c r="I118" s="442"/>
      <c r="J118" s="442"/>
      <c r="K118" s="442"/>
      <c r="L118" s="442"/>
      <c r="M118" s="442"/>
      <c r="N118" s="132"/>
      <c r="O118" s="132"/>
      <c r="P118" s="443"/>
      <c r="Q118" s="444"/>
      <c r="R118" s="3" t="str">
        <f t="shared" si="7"/>
        <v>ОПУ совмещенный с КРУЭ. Освещение и штепсельная сеть</v>
      </c>
      <c r="S118" s="3" t="s">
        <v>50</v>
      </c>
    </row>
    <row r="119" spans="1:19" ht="22.5" customHeight="1" thickBot="1" x14ac:dyDescent="0.3">
      <c r="A119" s="82" t="s">
        <v>11</v>
      </c>
      <c r="B119" s="435"/>
      <c r="C119" s="133"/>
      <c r="D119" s="134"/>
      <c r="E119" s="134"/>
      <c r="F119" s="445"/>
      <c r="G119" s="445"/>
      <c r="H119" s="445"/>
      <c r="I119" s="445"/>
      <c r="J119" s="445"/>
      <c r="K119" s="445"/>
      <c r="L119" s="445"/>
      <c r="M119" s="445"/>
      <c r="N119" s="135"/>
      <c r="O119" s="135"/>
      <c r="P119" s="446"/>
      <c r="Q119" s="447"/>
      <c r="R119" s="3" t="str">
        <f t="shared" si="7"/>
        <v>ОПУ совмещенный с КРУЭ. Освещение и штепсельная сеть</v>
      </c>
      <c r="S119" s="3" t="s">
        <v>50</v>
      </c>
    </row>
    <row r="120" spans="1:19" ht="13.5" customHeight="1" thickBot="1" x14ac:dyDescent="0.3">
      <c r="B120" s="29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108"/>
      <c r="P120" s="30"/>
      <c r="Q120" s="31"/>
      <c r="S120" s="3" t="s">
        <v>50</v>
      </c>
    </row>
    <row r="121" spans="1:19" s="4" customFormat="1" ht="13.5" customHeight="1" thickBot="1" x14ac:dyDescent="0.3">
      <c r="B121" s="109"/>
      <c r="C121" s="110"/>
      <c r="D121" s="110"/>
      <c r="E121" s="110"/>
      <c r="F121" s="110"/>
      <c r="G121" s="124"/>
      <c r="H121" s="124"/>
      <c r="I121" s="124"/>
      <c r="J121" s="124"/>
      <c r="K121" s="124"/>
      <c r="L121" s="124"/>
      <c r="M121" s="448" t="str">
        <f>Содержание!$AJ$29</f>
        <v>29-КМЧ-2015-027-ЭП.С</v>
      </c>
      <c r="N121" s="448"/>
      <c r="O121" s="448"/>
      <c r="P121" s="448"/>
      <c r="Q121" s="111" t="s">
        <v>18</v>
      </c>
      <c r="S121" s="3" t="s">
        <v>50</v>
      </c>
    </row>
    <row r="122" spans="1:19" s="4" customFormat="1" ht="13.5" customHeight="1" x14ac:dyDescent="0.25">
      <c r="B122" s="109"/>
      <c r="C122" s="110"/>
      <c r="D122" s="110"/>
      <c r="E122" s="110"/>
      <c r="F122" s="110"/>
      <c r="G122" s="125"/>
      <c r="H122" s="125"/>
      <c r="I122" s="125"/>
      <c r="J122" s="125"/>
      <c r="K122" s="125"/>
      <c r="L122" s="125"/>
      <c r="M122" s="449"/>
      <c r="N122" s="449"/>
      <c r="O122" s="449"/>
      <c r="P122" s="449"/>
      <c r="Q122" s="451">
        <f t="shared" ref="Q122" si="8">Q98+1</f>
        <v>7</v>
      </c>
      <c r="S122" s="3" t="s">
        <v>50</v>
      </c>
    </row>
    <row r="123" spans="1:19" s="4" customFormat="1" ht="13.5" customHeight="1" thickBot="1" x14ac:dyDescent="0.3">
      <c r="B123" s="106"/>
      <c r="C123" s="107"/>
      <c r="D123" s="107"/>
      <c r="E123" s="107"/>
      <c r="F123" s="107"/>
      <c r="G123" s="126" t="s">
        <v>25</v>
      </c>
      <c r="H123" s="136" t="s">
        <v>24</v>
      </c>
      <c r="I123" s="126" t="s">
        <v>18</v>
      </c>
      <c r="J123" s="126" t="s">
        <v>23</v>
      </c>
      <c r="K123" s="126" t="s">
        <v>22</v>
      </c>
      <c r="L123" s="126" t="s">
        <v>21</v>
      </c>
      <c r="M123" s="450"/>
      <c r="N123" s="450"/>
      <c r="O123" s="450"/>
      <c r="P123" s="450"/>
      <c r="Q123" s="452"/>
      <c r="S123" s="3" t="s">
        <v>50</v>
      </c>
    </row>
    <row r="124" spans="1:19" ht="22.5" customHeight="1" x14ac:dyDescent="0.25">
      <c r="A124" s="82" t="s">
        <v>11</v>
      </c>
      <c r="B124" s="434" t="str">
        <f>Содержание!G11</f>
        <v>ОПУ совмещенный с КРУЭ. Освещение и штепсельная сеть</v>
      </c>
      <c r="C124" s="127" t="s">
        <v>157</v>
      </c>
      <c r="D124" s="128" t="s">
        <v>59</v>
      </c>
      <c r="E124" s="128" t="s">
        <v>200</v>
      </c>
      <c r="F124" s="303" t="s">
        <v>181</v>
      </c>
      <c r="G124" s="453"/>
      <c r="H124" s="453"/>
      <c r="I124" s="453"/>
      <c r="J124" s="453"/>
      <c r="K124" s="453"/>
      <c r="L124" s="453"/>
      <c r="M124" s="304"/>
      <c r="N124" s="132" t="s">
        <v>182</v>
      </c>
      <c r="O124" s="132">
        <v>34</v>
      </c>
      <c r="P124" s="454"/>
      <c r="Q124" s="455"/>
      <c r="R124" s="3" t="str">
        <f>B124</f>
        <v>ОПУ совмещенный с КРУЭ. Освещение и штепсельная сеть</v>
      </c>
      <c r="S124" s="3" t="s">
        <v>50</v>
      </c>
    </row>
    <row r="125" spans="1:19" ht="22.5" customHeight="1" x14ac:dyDescent="0.25">
      <c r="A125" s="82" t="s">
        <v>11</v>
      </c>
      <c r="B125" s="435"/>
      <c r="C125" s="130" t="s">
        <v>158</v>
      </c>
      <c r="D125" s="131" t="s">
        <v>59</v>
      </c>
      <c r="E125" s="131" t="s">
        <v>242</v>
      </c>
      <c r="F125" s="303" t="s">
        <v>182</v>
      </c>
      <c r="G125" s="453"/>
      <c r="H125" s="453"/>
      <c r="I125" s="453"/>
      <c r="J125" s="453"/>
      <c r="K125" s="453"/>
      <c r="L125" s="453"/>
      <c r="M125" s="304"/>
      <c r="N125" s="132" t="s">
        <v>180</v>
      </c>
      <c r="O125" s="132">
        <v>82</v>
      </c>
      <c r="P125" s="443"/>
      <c r="Q125" s="444"/>
      <c r="R125" s="3" t="str">
        <f>R124</f>
        <v>ОПУ совмещенный с КРУЭ. Освещение и штепсельная сеть</v>
      </c>
      <c r="S125" s="3" t="s">
        <v>50</v>
      </c>
    </row>
    <row r="126" spans="1:19" ht="22.5" customHeight="1" x14ac:dyDescent="0.25">
      <c r="A126" s="82" t="s">
        <v>11</v>
      </c>
      <c r="B126" s="435"/>
      <c r="C126" s="130" t="s">
        <v>159</v>
      </c>
      <c r="D126" s="131" t="s">
        <v>59</v>
      </c>
      <c r="E126" s="131" t="s">
        <v>243</v>
      </c>
      <c r="F126" s="303" t="s">
        <v>182</v>
      </c>
      <c r="G126" s="453"/>
      <c r="H126" s="453"/>
      <c r="I126" s="453"/>
      <c r="J126" s="453"/>
      <c r="K126" s="453"/>
      <c r="L126" s="453"/>
      <c r="M126" s="304"/>
      <c r="N126" s="132" t="s">
        <v>180</v>
      </c>
      <c r="O126" s="132">
        <v>30</v>
      </c>
      <c r="P126" s="443"/>
      <c r="Q126" s="444"/>
      <c r="R126" s="3" t="str">
        <f t="shared" ref="R126:R143" si="9">R125</f>
        <v>ОПУ совмещенный с КРУЭ. Освещение и штепсельная сеть</v>
      </c>
      <c r="S126" s="3" t="s">
        <v>50</v>
      </c>
    </row>
    <row r="127" spans="1:19" ht="22.5" customHeight="1" x14ac:dyDescent="0.25">
      <c r="A127" s="82" t="s">
        <v>11</v>
      </c>
      <c r="B127" s="435"/>
      <c r="C127" s="130" t="s">
        <v>160</v>
      </c>
      <c r="D127" s="131" t="s">
        <v>59</v>
      </c>
      <c r="E127" s="131" t="s">
        <v>242</v>
      </c>
      <c r="F127" s="303" t="s">
        <v>182</v>
      </c>
      <c r="G127" s="453"/>
      <c r="H127" s="453"/>
      <c r="I127" s="453"/>
      <c r="J127" s="453"/>
      <c r="K127" s="453"/>
      <c r="L127" s="453"/>
      <c r="M127" s="304"/>
      <c r="N127" s="132" t="s">
        <v>180</v>
      </c>
      <c r="O127" s="132">
        <v>44</v>
      </c>
      <c r="P127" s="443"/>
      <c r="Q127" s="444"/>
      <c r="R127" s="3" t="str">
        <f t="shared" si="9"/>
        <v>ОПУ совмещенный с КРУЭ. Освещение и штепсельная сеть</v>
      </c>
      <c r="S127" s="3" t="s">
        <v>50</v>
      </c>
    </row>
    <row r="128" spans="1:19" ht="22.5" customHeight="1" x14ac:dyDescent="0.25">
      <c r="A128" s="82" t="s">
        <v>11</v>
      </c>
      <c r="B128" s="435"/>
      <c r="C128" s="130" t="s">
        <v>161</v>
      </c>
      <c r="D128" s="131" t="s">
        <v>59</v>
      </c>
      <c r="E128" s="131" t="s">
        <v>243</v>
      </c>
      <c r="F128" s="303" t="s">
        <v>182</v>
      </c>
      <c r="G128" s="453"/>
      <c r="H128" s="453"/>
      <c r="I128" s="453"/>
      <c r="J128" s="453"/>
      <c r="K128" s="453"/>
      <c r="L128" s="453"/>
      <c r="M128" s="304"/>
      <c r="N128" s="132" t="s">
        <v>180</v>
      </c>
      <c r="O128" s="132">
        <v>22</v>
      </c>
      <c r="P128" s="443"/>
      <c r="Q128" s="444"/>
      <c r="R128" s="3" t="str">
        <f t="shared" si="9"/>
        <v>ОПУ совмещенный с КРУЭ. Освещение и штепсельная сеть</v>
      </c>
      <c r="S128" s="3" t="s">
        <v>50</v>
      </c>
    </row>
    <row r="129" spans="1:19" ht="22.5" customHeight="1" x14ac:dyDescent="0.25">
      <c r="A129" s="82" t="s">
        <v>11</v>
      </c>
      <c r="B129" s="435"/>
      <c r="C129" s="130" t="s">
        <v>162</v>
      </c>
      <c r="D129" s="131" t="s">
        <v>59</v>
      </c>
      <c r="E129" s="131" t="s">
        <v>242</v>
      </c>
      <c r="F129" s="303" t="s">
        <v>182</v>
      </c>
      <c r="G129" s="453"/>
      <c r="H129" s="453"/>
      <c r="I129" s="453"/>
      <c r="J129" s="453"/>
      <c r="K129" s="453"/>
      <c r="L129" s="453"/>
      <c r="M129" s="304"/>
      <c r="N129" s="132" t="s">
        <v>180</v>
      </c>
      <c r="O129" s="132">
        <v>50</v>
      </c>
      <c r="P129" s="443"/>
      <c r="Q129" s="444"/>
      <c r="R129" s="3" t="str">
        <f t="shared" si="9"/>
        <v>ОПУ совмещенный с КРУЭ. Освещение и штепсельная сеть</v>
      </c>
      <c r="S129" s="3" t="s">
        <v>50</v>
      </c>
    </row>
    <row r="130" spans="1:19" ht="22.5" customHeight="1" x14ac:dyDescent="0.25">
      <c r="A130" s="82" t="s">
        <v>11</v>
      </c>
      <c r="B130" s="435"/>
      <c r="C130" s="130" t="s">
        <v>163</v>
      </c>
      <c r="D130" s="131" t="s">
        <v>59</v>
      </c>
      <c r="E130" s="131" t="s">
        <v>243</v>
      </c>
      <c r="F130" s="303" t="s">
        <v>182</v>
      </c>
      <c r="G130" s="453"/>
      <c r="H130" s="453"/>
      <c r="I130" s="453"/>
      <c r="J130" s="453"/>
      <c r="K130" s="453"/>
      <c r="L130" s="453"/>
      <c r="M130" s="304"/>
      <c r="N130" s="132" t="s">
        <v>180</v>
      </c>
      <c r="O130" s="132">
        <v>22</v>
      </c>
      <c r="P130" s="443"/>
      <c r="Q130" s="444"/>
      <c r="R130" s="3" t="str">
        <f t="shared" si="9"/>
        <v>ОПУ совмещенный с КРУЭ. Освещение и штепсельная сеть</v>
      </c>
      <c r="S130" s="3" t="s">
        <v>50</v>
      </c>
    </row>
    <row r="131" spans="1:19" ht="22.5" customHeight="1" x14ac:dyDescent="0.25">
      <c r="A131" s="82" t="s">
        <v>11</v>
      </c>
      <c r="B131" s="435"/>
      <c r="C131" s="130" t="s">
        <v>164</v>
      </c>
      <c r="D131" s="131" t="s">
        <v>59</v>
      </c>
      <c r="E131" s="131" t="s">
        <v>244</v>
      </c>
      <c r="F131" s="303" t="s">
        <v>182</v>
      </c>
      <c r="G131" s="453"/>
      <c r="H131" s="453"/>
      <c r="I131" s="453"/>
      <c r="J131" s="453"/>
      <c r="K131" s="453"/>
      <c r="L131" s="453"/>
      <c r="M131" s="304"/>
      <c r="N131" s="132" t="s">
        <v>125</v>
      </c>
      <c r="O131" s="132">
        <v>38</v>
      </c>
      <c r="P131" s="443"/>
      <c r="Q131" s="444"/>
      <c r="R131" s="3" t="str">
        <f t="shared" si="9"/>
        <v>ОПУ совмещенный с КРУЭ. Освещение и штепсельная сеть</v>
      </c>
      <c r="S131" s="3" t="s">
        <v>50</v>
      </c>
    </row>
    <row r="132" spans="1:19" ht="22.5" customHeight="1" x14ac:dyDescent="0.25">
      <c r="A132" s="82" t="s">
        <v>11</v>
      </c>
      <c r="B132" s="435"/>
      <c r="C132" s="130" t="s">
        <v>165</v>
      </c>
      <c r="D132" s="131" t="s">
        <v>59</v>
      </c>
      <c r="E132" s="131" t="s">
        <v>244</v>
      </c>
      <c r="F132" s="303" t="s">
        <v>182</v>
      </c>
      <c r="G132" s="453"/>
      <c r="H132" s="453"/>
      <c r="I132" s="453"/>
      <c r="J132" s="453"/>
      <c r="K132" s="453"/>
      <c r="L132" s="453"/>
      <c r="M132" s="304"/>
      <c r="N132" s="132" t="s">
        <v>125</v>
      </c>
      <c r="O132" s="132">
        <v>38</v>
      </c>
      <c r="P132" s="443"/>
      <c r="Q132" s="444"/>
      <c r="R132" s="3" t="str">
        <f t="shared" si="9"/>
        <v>ОПУ совмещенный с КРУЭ. Освещение и штепсельная сеть</v>
      </c>
      <c r="S132" s="3" t="s">
        <v>50</v>
      </c>
    </row>
    <row r="133" spans="1:19" ht="22.5" customHeight="1" x14ac:dyDescent="0.25">
      <c r="A133" s="82" t="s">
        <v>11</v>
      </c>
      <c r="B133" s="435"/>
      <c r="C133" s="130" t="s">
        <v>166</v>
      </c>
      <c r="D133" s="131" t="s">
        <v>59</v>
      </c>
      <c r="E133" s="131" t="s">
        <v>244</v>
      </c>
      <c r="F133" s="303" t="s">
        <v>182</v>
      </c>
      <c r="G133" s="453"/>
      <c r="H133" s="453"/>
      <c r="I133" s="453"/>
      <c r="J133" s="453"/>
      <c r="K133" s="453"/>
      <c r="L133" s="453"/>
      <c r="M133" s="304"/>
      <c r="N133" s="132" t="s">
        <v>125</v>
      </c>
      <c r="O133" s="132">
        <v>57</v>
      </c>
      <c r="P133" s="443"/>
      <c r="Q133" s="444"/>
      <c r="R133" s="3" t="str">
        <f t="shared" si="9"/>
        <v>ОПУ совмещенный с КРУЭ. Освещение и штепсельная сеть</v>
      </c>
      <c r="S133" s="3" t="s">
        <v>50</v>
      </c>
    </row>
    <row r="134" spans="1:19" ht="22.5" customHeight="1" x14ac:dyDescent="0.25">
      <c r="A134" s="82" t="s">
        <v>11</v>
      </c>
      <c r="B134" s="435"/>
      <c r="C134" s="130" t="s">
        <v>167</v>
      </c>
      <c r="D134" s="131" t="s">
        <v>59</v>
      </c>
      <c r="E134" s="131" t="s">
        <v>200</v>
      </c>
      <c r="F134" s="303" t="s">
        <v>181</v>
      </c>
      <c r="G134" s="453"/>
      <c r="H134" s="453"/>
      <c r="I134" s="453"/>
      <c r="J134" s="453"/>
      <c r="K134" s="453"/>
      <c r="L134" s="453"/>
      <c r="M134" s="304"/>
      <c r="N134" s="132" t="s">
        <v>183</v>
      </c>
      <c r="O134" s="132">
        <v>28</v>
      </c>
      <c r="P134" s="443"/>
      <c r="Q134" s="444"/>
      <c r="R134" s="3" t="str">
        <f t="shared" si="9"/>
        <v>ОПУ совмещенный с КРУЭ. Освещение и штепсельная сеть</v>
      </c>
      <c r="S134" s="3" t="s">
        <v>50</v>
      </c>
    </row>
    <row r="135" spans="1:19" ht="22.5" customHeight="1" x14ac:dyDescent="0.25">
      <c r="A135" s="82" t="s">
        <v>11</v>
      </c>
      <c r="B135" s="435"/>
      <c r="C135" s="130" t="s">
        <v>168</v>
      </c>
      <c r="D135" s="131" t="s">
        <v>59</v>
      </c>
      <c r="E135" s="131" t="s">
        <v>242</v>
      </c>
      <c r="F135" s="303" t="s">
        <v>183</v>
      </c>
      <c r="G135" s="453"/>
      <c r="H135" s="453"/>
      <c r="I135" s="453"/>
      <c r="J135" s="453"/>
      <c r="K135" s="453"/>
      <c r="L135" s="453"/>
      <c r="M135" s="304"/>
      <c r="N135" s="132" t="s">
        <v>175</v>
      </c>
      <c r="O135" s="132">
        <v>29</v>
      </c>
      <c r="P135" s="443"/>
      <c r="Q135" s="444"/>
      <c r="R135" s="3" t="str">
        <f t="shared" si="9"/>
        <v>ОПУ совмещенный с КРУЭ. Освещение и штепсельная сеть</v>
      </c>
      <c r="S135" s="3" t="s">
        <v>50</v>
      </c>
    </row>
    <row r="136" spans="1:19" ht="22.5" customHeight="1" x14ac:dyDescent="0.25">
      <c r="A136" s="82" t="s">
        <v>11</v>
      </c>
      <c r="B136" s="435"/>
      <c r="C136" s="130" t="s">
        <v>169</v>
      </c>
      <c r="D136" s="131" t="s">
        <v>59</v>
      </c>
      <c r="E136" s="131" t="s">
        <v>243</v>
      </c>
      <c r="F136" s="303" t="s">
        <v>183</v>
      </c>
      <c r="G136" s="453"/>
      <c r="H136" s="453"/>
      <c r="I136" s="453"/>
      <c r="J136" s="453"/>
      <c r="K136" s="453"/>
      <c r="L136" s="453"/>
      <c r="M136" s="304"/>
      <c r="N136" s="132" t="s">
        <v>175</v>
      </c>
      <c r="O136" s="132">
        <v>28</v>
      </c>
      <c r="P136" s="443"/>
      <c r="Q136" s="444"/>
      <c r="R136" s="3" t="str">
        <f t="shared" si="9"/>
        <v>ОПУ совмещенный с КРУЭ. Освещение и штепсельная сеть</v>
      </c>
      <c r="S136" s="3" t="s">
        <v>50</v>
      </c>
    </row>
    <row r="137" spans="1:19" ht="22.5" customHeight="1" x14ac:dyDescent="0.25">
      <c r="A137" s="82" t="s">
        <v>11</v>
      </c>
      <c r="B137" s="435"/>
      <c r="C137" s="130" t="s">
        <v>170</v>
      </c>
      <c r="D137" s="131" t="s">
        <v>59</v>
      </c>
      <c r="E137" s="131" t="s">
        <v>242</v>
      </c>
      <c r="F137" s="303" t="s">
        <v>183</v>
      </c>
      <c r="G137" s="453"/>
      <c r="H137" s="453"/>
      <c r="I137" s="453"/>
      <c r="J137" s="453"/>
      <c r="K137" s="453"/>
      <c r="L137" s="453"/>
      <c r="M137" s="304"/>
      <c r="N137" s="132" t="s">
        <v>175</v>
      </c>
      <c r="O137" s="132">
        <v>70</v>
      </c>
      <c r="P137" s="443"/>
      <c r="Q137" s="444"/>
      <c r="R137" s="3" t="str">
        <f t="shared" si="9"/>
        <v>ОПУ совмещенный с КРУЭ. Освещение и штепсельная сеть</v>
      </c>
      <c r="S137" s="3" t="s">
        <v>50</v>
      </c>
    </row>
    <row r="138" spans="1:19" ht="22.5" customHeight="1" x14ac:dyDescent="0.25">
      <c r="A138" s="82" t="s">
        <v>11</v>
      </c>
      <c r="B138" s="435"/>
      <c r="C138" s="130" t="s">
        <v>171</v>
      </c>
      <c r="D138" s="131" t="s">
        <v>59</v>
      </c>
      <c r="E138" s="131" t="s">
        <v>242</v>
      </c>
      <c r="F138" s="303" t="s">
        <v>183</v>
      </c>
      <c r="G138" s="453"/>
      <c r="H138" s="453"/>
      <c r="I138" s="453"/>
      <c r="J138" s="453"/>
      <c r="K138" s="453"/>
      <c r="L138" s="453"/>
      <c r="M138" s="304"/>
      <c r="N138" s="132" t="s">
        <v>175</v>
      </c>
      <c r="O138" s="132">
        <v>74</v>
      </c>
      <c r="P138" s="443"/>
      <c r="Q138" s="444"/>
      <c r="R138" s="3" t="str">
        <f t="shared" si="9"/>
        <v>ОПУ совмещенный с КРУЭ. Освещение и штепсельная сеть</v>
      </c>
      <c r="S138" s="3" t="s">
        <v>50</v>
      </c>
    </row>
    <row r="139" spans="1:19" ht="22.5" customHeight="1" x14ac:dyDescent="0.25">
      <c r="A139" s="82" t="s">
        <v>11</v>
      </c>
      <c r="B139" s="435"/>
      <c r="C139" s="130" t="s">
        <v>172</v>
      </c>
      <c r="D139" s="131" t="s">
        <v>59</v>
      </c>
      <c r="E139" s="131" t="s">
        <v>242</v>
      </c>
      <c r="F139" s="303" t="s">
        <v>183</v>
      </c>
      <c r="G139" s="453"/>
      <c r="H139" s="453"/>
      <c r="I139" s="453"/>
      <c r="J139" s="453"/>
      <c r="K139" s="453"/>
      <c r="L139" s="453"/>
      <c r="M139" s="304"/>
      <c r="N139" s="132" t="s">
        <v>175</v>
      </c>
      <c r="O139" s="132">
        <v>84</v>
      </c>
      <c r="P139" s="443"/>
      <c r="Q139" s="444"/>
      <c r="R139" s="3" t="str">
        <f t="shared" si="9"/>
        <v>ОПУ совмещенный с КРУЭ. Освещение и штепсельная сеть</v>
      </c>
      <c r="S139" s="3" t="s">
        <v>50</v>
      </c>
    </row>
    <row r="140" spans="1:19" ht="22.5" customHeight="1" x14ac:dyDescent="0.25">
      <c r="A140" s="82" t="s">
        <v>11</v>
      </c>
      <c r="B140" s="435"/>
      <c r="C140" s="130"/>
      <c r="D140" s="131"/>
      <c r="E140" s="131"/>
      <c r="F140" s="442"/>
      <c r="G140" s="442"/>
      <c r="H140" s="442"/>
      <c r="I140" s="442"/>
      <c r="J140" s="442"/>
      <c r="K140" s="442"/>
      <c r="L140" s="442"/>
      <c r="M140" s="442"/>
      <c r="N140" s="132"/>
      <c r="O140" s="132"/>
      <c r="P140" s="443"/>
      <c r="Q140" s="444"/>
      <c r="R140" s="3" t="str">
        <f t="shared" si="9"/>
        <v>ОПУ совмещенный с КРУЭ. Освещение и штепсельная сеть</v>
      </c>
      <c r="S140" s="3" t="s">
        <v>50</v>
      </c>
    </row>
    <row r="141" spans="1:19" ht="22.5" customHeight="1" x14ac:dyDescent="0.25">
      <c r="A141" s="82" t="s">
        <v>11</v>
      </c>
      <c r="B141" s="435"/>
      <c r="C141" s="130"/>
      <c r="D141" s="131"/>
      <c r="E141" s="131"/>
      <c r="F141" s="442"/>
      <c r="G141" s="442"/>
      <c r="H141" s="442"/>
      <c r="I141" s="442"/>
      <c r="J141" s="442"/>
      <c r="K141" s="442"/>
      <c r="L141" s="442"/>
      <c r="M141" s="442"/>
      <c r="N141" s="132"/>
      <c r="O141" s="132"/>
      <c r="P141" s="443"/>
      <c r="Q141" s="444"/>
      <c r="R141" s="3" t="str">
        <f t="shared" si="9"/>
        <v>ОПУ совмещенный с КРУЭ. Освещение и штепсельная сеть</v>
      </c>
      <c r="S141" s="3" t="s">
        <v>50</v>
      </c>
    </row>
    <row r="142" spans="1:19" ht="22.5" customHeight="1" x14ac:dyDescent="0.25">
      <c r="A142" s="82" t="s">
        <v>11</v>
      </c>
      <c r="B142" s="435"/>
      <c r="C142" s="130"/>
      <c r="D142" s="131"/>
      <c r="E142" s="131"/>
      <c r="F142" s="442"/>
      <c r="G142" s="442"/>
      <c r="H142" s="442"/>
      <c r="I142" s="442"/>
      <c r="J142" s="442"/>
      <c r="K142" s="442"/>
      <c r="L142" s="442"/>
      <c r="M142" s="442"/>
      <c r="N142" s="132"/>
      <c r="O142" s="132"/>
      <c r="P142" s="443"/>
      <c r="Q142" s="444"/>
      <c r="R142" s="3" t="str">
        <f t="shared" si="9"/>
        <v>ОПУ совмещенный с КРУЭ. Освещение и штепсельная сеть</v>
      </c>
      <c r="S142" s="3" t="s">
        <v>50</v>
      </c>
    </row>
    <row r="143" spans="1:19" ht="22.5" customHeight="1" thickBot="1" x14ac:dyDescent="0.3">
      <c r="A143" s="82" t="s">
        <v>11</v>
      </c>
      <c r="B143" s="435"/>
      <c r="C143" s="133"/>
      <c r="D143" s="134"/>
      <c r="E143" s="134"/>
      <c r="F143" s="445"/>
      <c r="G143" s="445"/>
      <c r="H143" s="445"/>
      <c r="I143" s="445"/>
      <c r="J143" s="445"/>
      <c r="K143" s="445"/>
      <c r="L143" s="445"/>
      <c r="M143" s="445"/>
      <c r="N143" s="135"/>
      <c r="O143" s="135"/>
      <c r="P143" s="446"/>
      <c r="Q143" s="447"/>
      <c r="R143" s="3" t="str">
        <f t="shared" si="9"/>
        <v>ОПУ совмещенный с КРУЭ. Освещение и штепсельная сеть</v>
      </c>
      <c r="S143" s="3" t="s">
        <v>50</v>
      </c>
    </row>
    <row r="144" spans="1:19" ht="13.5" customHeight="1" thickBot="1" x14ac:dyDescent="0.3">
      <c r="B144" s="29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108"/>
      <c r="P144" s="30"/>
      <c r="Q144" s="31"/>
      <c r="S144" s="3" t="s">
        <v>50</v>
      </c>
    </row>
    <row r="145" spans="1:19" s="4" customFormat="1" ht="13.5" customHeight="1" thickBot="1" x14ac:dyDescent="0.3">
      <c r="B145" s="109"/>
      <c r="C145" s="110"/>
      <c r="D145" s="110"/>
      <c r="E145" s="110"/>
      <c r="F145" s="110"/>
      <c r="G145" s="124"/>
      <c r="H145" s="124"/>
      <c r="I145" s="124"/>
      <c r="J145" s="124"/>
      <c r="K145" s="124"/>
      <c r="L145" s="124"/>
      <c r="M145" s="448" t="str">
        <f>Содержание!$AJ$29</f>
        <v>29-КМЧ-2015-027-ЭП.С</v>
      </c>
      <c r="N145" s="448"/>
      <c r="O145" s="448"/>
      <c r="P145" s="448"/>
      <c r="Q145" s="111" t="s">
        <v>18</v>
      </c>
      <c r="S145" s="3" t="s">
        <v>50</v>
      </c>
    </row>
    <row r="146" spans="1:19" s="4" customFormat="1" ht="13.5" customHeight="1" x14ac:dyDescent="0.25">
      <c r="B146" s="109"/>
      <c r="C146" s="110"/>
      <c r="D146" s="110"/>
      <c r="E146" s="110"/>
      <c r="F146" s="110"/>
      <c r="G146" s="125"/>
      <c r="H146" s="125"/>
      <c r="I146" s="125"/>
      <c r="J146" s="125"/>
      <c r="K146" s="125"/>
      <c r="L146" s="125"/>
      <c r="M146" s="449"/>
      <c r="N146" s="449"/>
      <c r="O146" s="449"/>
      <c r="P146" s="449"/>
      <c r="Q146" s="451">
        <f t="shared" ref="Q146" si="10">Q122+1</f>
        <v>8</v>
      </c>
      <c r="S146" s="3" t="s">
        <v>50</v>
      </c>
    </row>
    <row r="147" spans="1:19" s="4" customFormat="1" ht="13.5" customHeight="1" thickBot="1" x14ac:dyDescent="0.3">
      <c r="B147" s="106"/>
      <c r="C147" s="107"/>
      <c r="D147" s="107"/>
      <c r="E147" s="107"/>
      <c r="F147" s="107"/>
      <c r="G147" s="126" t="s">
        <v>25</v>
      </c>
      <c r="H147" s="136" t="s">
        <v>24</v>
      </c>
      <c r="I147" s="126" t="s">
        <v>18</v>
      </c>
      <c r="J147" s="126" t="s">
        <v>23</v>
      </c>
      <c r="K147" s="126" t="s">
        <v>22</v>
      </c>
      <c r="L147" s="126" t="s">
        <v>21</v>
      </c>
      <c r="M147" s="450"/>
      <c r="N147" s="450"/>
      <c r="O147" s="450"/>
      <c r="P147" s="450"/>
      <c r="Q147" s="452"/>
      <c r="S147" s="3" t="s">
        <v>50</v>
      </c>
    </row>
    <row r="148" spans="1:19" ht="22.5" customHeight="1" x14ac:dyDescent="0.25">
      <c r="A148" s="82" t="s">
        <v>11</v>
      </c>
      <c r="B148" s="434" t="str">
        <f>Содержание!$G$13</f>
        <v>ОПУ совмещенный с КРУЭ. Силовая сеть</v>
      </c>
      <c r="C148" s="149" t="s">
        <v>247</v>
      </c>
      <c r="D148" s="159" t="s">
        <v>60</v>
      </c>
      <c r="E148" s="150" t="s">
        <v>200</v>
      </c>
      <c r="F148" s="436" t="s">
        <v>266</v>
      </c>
      <c r="G148" s="436"/>
      <c r="H148" s="436"/>
      <c r="I148" s="436"/>
      <c r="J148" s="436"/>
      <c r="K148" s="436"/>
      <c r="L148" s="436"/>
      <c r="M148" s="436"/>
      <c r="N148" s="151" t="s">
        <v>267</v>
      </c>
      <c r="O148" s="151">
        <v>23</v>
      </c>
      <c r="P148" s="437"/>
      <c r="Q148" s="438"/>
      <c r="R148" s="3" t="str">
        <f>B148</f>
        <v>ОПУ совмещенный с КРУЭ. Силовая сеть</v>
      </c>
      <c r="S148" s="3" t="s">
        <v>50</v>
      </c>
    </row>
    <row r="149" spans="1:19" ht="22.5" customHeight="1" x14ac:dyDescent="0.25">
      <c r="A149" s="82" t="s">
        <v>11</v>
      </c>
      <c r="B149" s="435"/>
      <c r="C149" s="152" t="s">
        <v>248</v>
      </c>
      <c r="D149" s="160" t="s">
        <v>60</v>
      </c>
      <c r="E149" s="153" t="s">
        <v>200</v>
      </c>
      <c r="F149" s="439" t="s">
        <v>268</v>
      </c>
      <c r="G149" s="440"/>
      <c r="H149" s="440"/>
      <c r="I149" s="440"/>
      <c r="J149" s="440"/>
      <c r="K149" s="440"/>
      <c r="L149" s="440"/>
      <c r="M149" s="441"/>
      <c r="N149" s="154" t="s">
        <v>269</v>
      </c>
      <c r="O149" s="154">
        <v>23</v>
      </c>
      <c r="P149" s="424"/>
      <c r="Q149" s="425"/>
      <c r="R149" s="3" t="str">
        <f>R148</f>
        <v>ОПУ совмещенный с КРУЭ. Силовая сеть</v>
      </c>
      <c r="S149" s="3" t="s">
        <v>50</v>
      </c>
    </row>
    <row r="150" spans="1:19" ht="22.5" customHeight="1" x14ac:dyDescent="0.25">
      <c r="A150" s="82" t="s">
        <v>11</v>
      </c>
      <c r="B150" s="435"/>
      <c r="C150" s="152" t="s">
        <v>249</v>
      </c>
      <c r="D150" s="153" t="s">
        <v>59</v>
      </c>
      <c r="E150" s="153" t="s">
        <v>198</v>
      </c>
      <c r="F150" s="439" t="s">
        <v>266</v>
      </c>
      <c r="G150" s="440"/>
      <c r="H150" s="440"/>
      <c r="I150" s="440"/>
      <c r="J150" s="440"/>
      <c r="K150" s="440"/>
      <c r="L150" s="440"/>
      <c r="M150" s="441"/>
      <c r="N150" s="154" t="s">
        <v>270</v>
      </c>
      <c r="O150" s="154">
        <v>32</v>
      </c>
      <c r="P150" s="424"/>
      <c r="Q150" s="425"/>
      <c r="R150" s="3" t="str">
        <f t="shared" ref="R150:R167" si="11">R149</f>
        <v>ОПУ совмещенный с КРУЭ. Силовая сеть</v>
      </c>
      <c r="S150" s="3" t="s">
        <v>50</v>
      </c>
    </row>
    <row r="151" spans="1:19" ht="22.5" customHeight="1" x14ac:dyDescent="0.25">
      <c r="A151" s="82" t="s">
        <v>11</v>
      </c>
      <c r="B151" s="435"/>
      <c r="C151" s="152" t="s">
        <v>250</v>
      </c>
      <c r="D151" s="153" t="s">
        <v>59</v>
      </c>
      <c r="E151" s="153" t="s">
        <v>198</v>
      </c>
      <c r="F151" s="439" t="s">
        <v>268</v>
      </c>
      <c r="G151" s="440"/>
      <c r="H151" s="440"/>
      <c r="I151" s="440"/>
      <c r="J151" s="440"/>
      <c r="K151" s="440"/>
      <c r="L151" s="440"/>
      <c r="M151" s="441"/>
      <c r="N151" s="154" t="s">
        <v>271</v>
      </c>
      <c r="O151" s="154">
        <v>40</v>
      </c>
      <c r="P151" s="424"/>
      <c r="Q151" s="425"/>
      <c r="R151" s="3" t="str">
        <f t="shared" si="11"/>
        <v>ОПУ совмещенный с КРУЭ. Силовая сеть</v>
      </c>
      <c r="S151" s="3" t="s">
        <v>50</v>
      </c>
    </row>
    <row r="152" spans="1:19" ht="22.5" customHeight="1" x14ac:dyDescent="0.25">
      <c r="A152" s="82" t="s">
        <v>11</v>
      </c>
      <c r="B152" s="435"/>
      <c r="C152" s="152" t="s">
        <v>251</v>
      </c>
      <c r="D152" s="153" t="s">
        <v>59</v>
      </c>
      <c r="E152" s="153" t="s">
        <v>200</v>
      </c>
      <c r="F152" s="439" t="s">
        <v>266</v>
      </c>
      <c r="G152" s="440"/>
      <c r="H152" s="440"/>
      <c r="I152" s="440"/>
      <c r="J152" s="440"/>
      <c r="K152" s="440"/>
      <c r="L152" s="440"/>
      <c r="M152" s="441"/>
      <c r="N152" s="154" t="s">
        <v>446</v>
      </c>
      <c r="O152" s="154">
        <v>32</v>
      </c>
      <c r="P152" s="424"/>
      <c r="Q152" s="425"/>
      <c r="R152" s="3" t="str">
        <f t="shared" si="11"/>
        <v>ОПУ совмещенный с КРУЭ. Силовая сеть</v>
      </c>
      <c r="S152" s="3" t="s">
        <v>50</v>
      </c>
    </row>
    <row r="153" spans="1:19" ht="22.5" customHeight="1" x14ac:dyDescent="0.25">
      <c r="A153" s="82" t="s">
        <v>11</v>
      </c>
      <c r="B153" s="435"/>
      <c r="C153" s="152" t="s">
        <v>252</v>
      </c>
      <c r="D153" s="153" t="s">
        <v>59</v>
      </c>
      <c r="E153" s="153" t="s">
        <v>200</v>
      </c>
      <c r="F153" s="439" t="s">
        <v>268</v>
      </c>
      <c r="G153" s="440"/>
      <c r="H153" s="440"/>
      <c r="I153" s="440"/>
      <c r="J153" s="440"/>
      <c r="K153" s="440"/>
      <c r="L153" s="440"/>
      <c r="M153" s="441"/>
      <c r="N153" s="154" t="s">
        <v>447</v>
      </c>
      <c r="O153" s="154">
        <v>44</v>
      </c>
      <c r="P153" s="424"/>
      <c r="Q153" s="425"/>
      <c r="R153" s="3" t="str">
        <f t="shared" si="11"/>
        <v>ОПУ совмещенный с КРУЭ. Силовая сеть</v>
      </c>
      <c r="S153" s="3" t="s">
        <v>50</v>
      </c>
    </row>
    <row r="154" spans="1:19" ht="22.5" customHeight="1" x14ac:dyDescent="0.25">
      <c r="A154" s="82" t="s">
        <v>11</v>
      </c>
      <c r="B154" s="435"/>
      <c r="C154" s="152" t="s">
        <v>253</v>
      </c>
      <c r="D154" s="153" t="s">
        <v>59</v>
      </c>
      <c r="E154" s="153" t="s">
        <v>210</v>
      </c>
      <c r="F154" s="439" t="s">
        <v>266</v>
      </c>
      <c r="G154" s="440"/>
      <c r="H154" s="440"/>
      <c r="I154" s="440"/>
      <c r="J154" s="440"/>
      <c r="K154" s="440"/>
      <c r="L154" s="440"/>
      <c r="M154" s="441"/>
      <c r="N154" s="154" t="s">
        <v>272</v>
      </c>
      <c r="O154" s="154">
        <v>27</v>
      </c>
      <c r="P154" s="424"/>
      <c r="Q154" s="425"/>
      <c r="R154" s="3" t="str">
        <f t="shared" si="11"/>
        <v>ОПУ совмещенный с КРУЭ. Силовая сеть</v>
      </c>
      <c r="S154" s="3" t="s">
        <v>50</v>
      </c>
    </row>
    <row r="155" spans="1:19" ht="22.5" customHeight="1" x14ac:dyDescent="0.25">
      <c r="A155" s="82" t="s">
        <v>11</v>
      </c>
      <c r="B155" s="435"/>
      <c r="C155" s="152" t="s">
        <v>254</v>
      </c>
      <c r="D155" s="153" t="s">
        <v>59</v>
      </c>
      <c r="E155" s="153" t="s">
        <v>210</v>
      </c>
      <c r="F155" s="439" t="s">
        <v>268</v>
      </c>
      <c r="G155" s="440"/>
      <c r="H155" s="440"/>
      <c r="I155" s="440"/>
      <c r="J155" s="440"/>
      <c r="K155" s="440"/>
      <c r="L155" s="440"/>
      <c r="M155" s="441"/>
      <c r="N155" s="154" t="s">
        <v>273</v>
      </c>
      <c r="O155" s="154">
        <v>70</v>
      </c>
      <c r="P155" s="424"/>
      <c r="Q155" s="425"/>
      <c r="R155" s="3" t="str">
        <f t="shared" si="11"/>
        <v>ОПУ совмещенный с КРУЭ. Силовая сеть</v>
      </c>
      <c r="S155" s="3" t="s">
        <v>50</v>
      </c>
    </row>
    <row r="156" spans="1:19" ht="22.5" customHeight="1" x14ac:dyDescent="0.25">
      <c r="A156" s="82" t="s">
        <v>11</v>
      </c>
      <c r="B156" s="435"/>
      <c r="C156" s="152" t="s">
        <v>255</v>
      </c>
      <c r="D156" s="153" t="s">
        <v>59</v>
      </c>
      <c r="E156" s="153" t="s">
        <v>210</v>
      </c>
      <c r="F156" s="439" t="s">
        <v>266</v>
      </c>
      <c r="G156" s="440"/>
      <c r="H156" s="440"/>
      <c r="I156" s="440"/>
      <c r="J156" s="440"/>
      <c r="K156" s="440"/>
      <c r="L156" s="440"/>
      <c r="M156" s="441"/>
      <c r="N156" s="154" t="s">
        <v>274</v>
      </c>
      <c r="O156" s="154">
        <v>25</v>
      </c>
      <c r="P156" s="424"/>
      <c r="Q156" s="425"/>
      <c r="R156" s="3" t="str">
        <f t="shared" si="11"/>
        <v>ОПУ совмещенный с КРУЭ. Силовая сеть</v>
      </c>
      <c r="S156" s="3" t="s">
        <v>50</v>
      </c>
    </row>
    <row r="157" spans="1:19" ht="22.5" customHeight="1" x14ac:dyDescent="0.25">
      <c r="A157" s="82" t="s">
        <v>11</v>
      </c>
      <c r="B157" s="435"/>
      <c r="C157" s="152" t="s">
        <v>256</v>
      </c>
      <c r="D157" s="153" t="s">
        <v>59</v>
      </c>
      <c r="E157" s="153" t="s">
        <v>210</v>
      </c>
      <c r="F157" s="439" t="s">
        <v>268</v>
      </c>
      <c r="G157" s="440"/>
      <c r="H157" s="440"/>
      <c r="I157" s="440"/>
      <c r="J157" s="440"/>
      <c r="K157" s="440"/>
      <c r="L157" s="440"/>
      <c r="M157" s="441"/>
      <c r="N157" s="154" t="s">
        <v>275</v>
      </c>
      <c r="O157" s="154">
        <v>25</v>
      </c>
      <c r="P157" s="424"/>
      <c r="Q157" s="425"/>
      <c r="R157" s="3" t="str">
        <f t="shared" si="11"/>
        <v>ОПУ совмещенный с КРУЭ. Силовая сеть</v>
      </c>
      <c r="S157" s="3" t="s">
        <v>50</v>
      </c>
    </row>
    <row r="158" spans="1:19" ht="22.5" customHeight="1" x14ac:dyDescent="0.25">
      <c r="A158" s="82" t="s">
        <v>11</v>
      </c>
      <c r="B158" s="435"/>
      <c r="C158" s="152" t="s">
        <v>257</v>
      </c>
      <c r="D158" s="153" t="s">
        <v>59</v>
      </c>
      <c r="E158" s="153" t="s">
        <v>200</v>
      </c>
      <c r="F158" s="439" t="s">
        <v>266</v>
      </c>
      <c r="G158" s="440"/>
      <c r="H158" s="440"/>
      <c r="I158" s="440"/>
      <c r="J158" s="440"/>
      <c r="K158" s="440"/>
      <c r="L158" s="440"/>
      <c r="M158" s="441"/>
      <c r="N158" s="154" t="s">
        <v>276</v>
      </c>
      <c r="O158" s="154">
        <v>88</v>
      </c>
      <c r="P158" s="424"/>
      <c r="Q158" s="425"/>
      <c r="R158" s="3" t="str">
        <f t="shared" si="11"/>
        <v>ОПУ совмещенный с КРУЭ. Силовая сеть</v>
      </c>
      <c r="S158" s="3" t="s">
        <v>50</v>
      </c>
    </row>
    <row r="159" spans="1:19" ht="22.5" customHeight="1" x14ac:dyDescent="0.25">
      <c r="A159" s="82" t="s">
        <v>11</v>
      </c>
      <c r="B159" s="435"/>
      <c r="C159" s="152" t="s">
        <v>258</v>
      </c>
      <c r="D159" s="153" t="s">
        <v>59</v>
      </c>
      <c r="E159" s="153" t="s">
        <v>200</v>
      </c>
      <c r="F159" s="439" t="s">
        <v>268</v>
      </c>
      <c r="G159" s="440"/>
      <c r="H159" s="440"/>
      <c r="I159" s="440"/>
      <c r="J159" s="440"/>
      <c r="K159" s="440"/>
      <c r="L159" s="440"/>
      <c r="M159" s="441"/>
      <c r="N159" s="154" t="s">
        <v>277</v>
      </c>
      <c r="O159" s="154">
        <v>96</v>
      </c>
      <c r="P159" s="424"/>
      <c r="Q159" s="425"/>
      <c r="R159" s="3" t="str">
        <f t="shared" si="11"/>
        <v>ОПУ совмещенный с КРУЭ. Силовая сеть</v>
      </c>
      <c r="S159" s="3" t="s">
        <v>50</v>
      </c>
    </row>
    <row r="160" spans="1:19" ht="22.5" customHeight="1" x14ac:dyDescent="0.25">
      <c r="A160" s="82" t="s">
        <v>11</v>
      </c>
      <c r="B160" s="435"/>
      <c r="C160" s="152" t="s">
        <v>259</v>
      </c>
      <c r="D160" s="153" t="s">
        <v>59</v>
      </c>
      <c r="E160" s="153" t="s">
        <v>200</v>
      </c>
      <c r="F160" s="439" t="s">
        <v>266</v>
      </c>
      <c r="G160" s="440"/>
      <c r="H160" s="440"/>
      <c r="I160" s="440"/>
      <c r="J160" s="440"/>
      <c r="K160" s="440"/>
      <c r="L160" s="440"/>
      <c r="M160" s="441"/>
      <c r="N160" s="154" t="s">
        <v>278</v>
      </c>
      <c r="O160" s="154">
        <v>30</v>
      </c>
      <c r="P160" s="424"/>
      <c r="Q160" s="425"/>
      <c r="R160" s="3" t="str">
        <f t="shared" si="11"/>
        <v>ОПУ совмещенный с КРУЭ. Силовая сеть</v>
      </c>
      <c r="S160" s="3" t="s">
        <v>50</v>
      </c>
    </row>
    <row r="161" spans="1:19" ht="22.5" customHeight="1" x14ac:dyDescent="0.25">
      <c r="A161" s="82" t="s">
        <v>11</v>
      </c>
      <c r="B161" s="435"/>
      <c r="C161" s="152" t="s">
        <v>260</v>
      </c>
      <c r="D161" s="153" t="s">
        <v>59</v>
      </c>
      <c r="E161" s="153" t="s">
        <v>200</v>
      </c>
      <c r="F161" s="439" t="s">
        <v>266</v>
      </c>
      <c r="G161" s="440"/>
      <c r="H161" s="440"/>
      <c r="I161" s="440"/>
      <c r="J161" s="440"/>
      <c r="K161" s="440"/>
      <c r="L161" s="440"/>
      <c r="M161" s="441"/>
      <c r="N161" s="154" t="s">
        <v>279</v>
      </c>
      <c r="O161" s="154">
        <v>74</v>
      </c>
      <c r="P161" s="424"/>
      <c r="Q161" s="425"/>
      <c r="R161" s="3" t="str">
        <f t="shared" si="11"/>
        <v>ОПУ совмещенный с КРУЭ. Силовая сеть</v>
      </c>
      <c r="S161" s="3" t="s">
        <v>50</v>
      </c>
    </row>
    <row r="162" spans="1:19" ht="22.5" customHeight="1" x14ac:dyDescent="0.25">
      <c r="A162" s="82" t="s">
        <v>11</v>
      </c>
      <c r="B162" s="435"/>
      <c r="C162" s="152" t="s">
        <v>261</v>
      </c>
      <c r="D162" s="153" t="s">
        <v>59</v>
      </c>
      <c r="E162" s="153" t="s">
        <v>200</v>
      </c>
      <c r="F162" s="439" t="s">
        <v>268</v>
      </c>
      <c r="G162" s="440"/>
      <c r="H162" s="440"/>
      <c r="I162" s="440"/>
      <c r="J162" s="440"/>
      <c r="K162" s="440"/>
      <c r="L162" s="440"/>
      <c r="M162" s="441"/>
      <c r="N162" s="154" t="s">
        <v>280</v>
      </c>
      <c r="O162" s="154">
        <v>82</v>
      </c>
      <c r="P162" s="424"/>
      <c r="Q162" s="425"/>
      <c r="R162" s="3" t="str">
        <f t="shared" si="11"/>
        <v>ОПУ совмещенный с КРУЭ. Силовая сеть</v>
      </c>
      <c r="S162" s="3" t="s">
        <v>50</v>
      </c>
    </row>
    <row r="163" spans="1:19" ht="22.5" customHeight="1" x14ac:dyDescent="0.25">
      <c r="A163" s="82" t="s">
        <v>11</v>
      </c>
      <c r="B163" s="435"/>
      <c r="C163" s="152" t="s">
        <v>262</v>
      </c>
      <c r="D163" s="153" t="s">
        <v>59</v>
      </c>
      <c r="E163" s="153" t="s">
        <v>200</v>
      </c>
      <c r="F163" s="439" t="s">
        <v>268</v>
      </c>
      <c r="G163" s="440"/>
      <c r="H163" s="440"/>
      <c r="I163" s="440"/>
      <c r="J163" s="440"/>
      <c r="K163" s="440"/>
      <c r="L163" s="440"/>
      <c r="M163" s="441"/>
      <c r="N163" s="154" t="s">
        <v>281</v>
      </c>
      <c r="O163" s="154">
        <v>34</v>
      </c>
      <c r="P163" s="424"/>
      <c r="Q163" s="425"/>
      <c r="R163" s="3" t="str">
        <f t="shared" si="11"/>
        <v>ОПУ совмещенный с КРУЭ. Силовая сеть</v>
      </c>
      <c r="S163" s="3" t="s">
        <v>50</v>
      </c>
    </row>
    <row r="164" spans="1:19" ht="22.5" customHeight="1" x14ac:dyDescent="0.25">
      <c r="A164" s="82" t="s">
        <v>11</v>
      </c>
      <c r="B164" s="435"/>
      <c r="C164" s="152" t="s">
        <v>263</v>
      </c>
      <c r="D164" s="153" t="s">
        <v>59</v>
      </c>
      <c r="E164" s="153" t="s">
        <v>200</v>
      </c>
      <c r="F164" s="439" t="s">
        <v>266</v>
      </c>
      <c r="G164" s="440"/>
      <c r="H164" s="440"/>
      <c r="I164" s="440"/>
      <c r="J164" s="440"/>
      <c r="K164" s="440"/>
      <c r="L164" s="440"/>
      <c r="M164" s="441"/>
      <c r="N164" s="154" t="s">
        <v>282</v>
      </c>
      <c r="O164" s="154">
        <v>113</v>
      </c>
      <c r="P164" s="424"/>
      <c r="Q164" s="425"/>
      <c r="R164" s="3" t="str">
        <f t="shared" si="11"/>
        <v>ОПУ совмещенный с КРУЭ. Силовая сеть</v>
      </c>
      <c r="S164" s="3" t="s">
        <v>50</v>
      </c>
    </row>
    <row r="165" spans="1:19" ht="22.5" customHeight="1" x14ac:dyDescent="0.25">
      <c r="A165" s="82" t="s">
        <v>11</v>
      </c>
      <c r="B165" s="435"/>
      <c r="C165" s="152" t="s">
        <v>264</v>
      </c>
      <c r="D165" s="153" t="s">
        <v>59</v>
      </c>
      <c r="E165" s="153" t="s">
        <v>200</v>
      </c>
      <c r="F165" s="439" t="s">
        <v>268</v>
      </c>
      <c r="G165" s="440"/>
      <c r="H165" s="440"/>
      <c r="I165" s="440"/>
      <c r="J165" s="440"/>
      <c r="K165" s="440"/>
      <c r="L165" s="440"/>
      <c r="M165" s="441"/>
      <c r="N165" s="154" t="s">
        <v>283</v>
      </c>
      <c r="O165" s="154">
        <v>110</v>
      </c>
      <c r="P165" s="424"/>
      <c r="Q165" s="425"/>
      <c r="R165" s="3" t="str">
        <f t="shared" si="11"/>
        <v>ОПУ совмещенный с КРУЭ. Силовая сеть</v>
      </c>
      <c r="S165" s="3" t="s">
        <v>50</v>
      </c>
    </row>
    <row r="166" spans="1:19" ht="22.5" customHeight="1" x14ac:dyDescent="0.25">
      <c r="A166" s="82" t="s">
        <v>11</v>
      </c>
      <c r="B166" s="435"/>
      <c r="C166" s="152" t="s">
        <v>265</v>
      </c>
      <c r="D166" s="153" t="s">
        <v>59</v>
      </c>
      <c r="E166" s="153" t="s">
        <v>200</v>
      </c>
      <c r="F166" s="439" t="s">
        <v>266</v>
      </c>
      <c r="G166" s="440"/>
      <c r="H166" s="440"/>
      <c r="I166" s="440"/>
      <c r="J166" s="440"/>
      <c r="K166" s="440"/>
      <c r="L166" s="440"/>
      <c r="M166" s="441"/>
      <c r="N166" s="154" t="s">
        <v>284</v>
      </c>
      <c r="O166" s="154">
        <v>31</v>
      </c>
      <c r="P166" s="424"/>
      <c r="Q166" s="425"/>
      <c r="R166" s="3" t="str">
        <f t="shared" si="11"/>
        <v>ОПУ совмещенный с КРУЭ. Силовая сеть</v>
      </c>
      <c r="S166" s="3" t="s">
        <v>50</v>
      </c>
    </row>
    <row r="167" spans="1:19" ht="22.5" customHeight="1" thickBot="1" x14ac:dyDescent="0.3">
      <c r="A167" s="82" t="s">
        <v>11</v>
      </c>
      <c r="B167" s="435"/>
      <c r="C167" s="155"/>
      <c r="D167" s="156"/>
      <c r="E167" s="156"/>
      <c r="F167" s="426"/>
      <c r="G167" s="426"/>
      <c r="H167" s="426"/>
      <c r="I167" s="426"/>
      <c r="J167" s="426"/>
      <c r="K167" s="426"/>
      <c r="L167" s="426"/>
      <c r="M167" s="426"/>
      <c r="N167" s="157"/>
      <c r="O167" s="157"/>
      <c r="P167" s="427"/>
      <c r="Q167" s="428"/>
      <c r="R167" s="3" t="str">
        <f t="shared" si="11"/>
        <v>ОПУ совмещенный с КРУЭ. Силовая сеть</v>
      </c>
      <c r="S167" s="3" t="s">
        <v>50</v>
      </c>
    </row>
    <row r="168" spans="1:19" ht="13.5" customHeight="1" thickBot="1" x14ac:dyDescent="0.3">
      <c r="B168" s="29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139"/>
      <c r="P168" s="30"/>
      <c r="Q168" s="31"/>
      <c r="S168" s="3" t="s">
        <v>50</v>
      </c>
    </row>
    <row r="169" spans="1:19" s="4" customFormat="1" ht="13.5" customHeight="1" thickBot="1" x14ac:dyDescent="0.3">
      <c r="B169" s="140"/>
      <c r="C169" s="141"/>
      <c r="D169" s="141"/>
      <c r="E169" s="141"/>
      <c r="F169" s="141"/>
      <c r="G169" s="146"/>
      <c r="H169" s="146"/>
      <c r="I169" s="146"/>
      <c r="J169" s="146"/>
      <c r="K169" s="146"/>
      <c r="L169" s="146"/>
      <c r="M169" s="429" t="str">
        <f>Содержание!$AJ$29</f>
        <v>29-КМЧ-2015-027-ЭП.С</v>
      </c>
      <c r="N169" s="429"/>
      <c r="O169" s="429"/>
      <c r="P169" s="429"/>
      <c r="Q169" s="145" t="s">
        <v>18</v>
      </c>
      <c r="S169" s="3" t="s">
        <v>50</v>
      </c>
    </row>
    <row r="170" spans="1:19" s="4" customFormat="1" ht="13.5" customHeight="1" x14ac:dyDescent="0.25">
      <c r="B170" s="140"/>
      <c r="C170" s="141"/>
      <c r="D170" s="141"/>
      <c r="E170" s="141"/>
      <c r="F170" s="141"/>
      <c r="G170" s="147"/>
      <c r="H170" s="147"/>
      <c r="I170" s="147"/>
      <c r="J170" s="147"/>
      <c r="K170" s="147"/>
      <c r="L170" s="147"/>
      <c r="M170" s="430"/>
      <c r="N170" s="430"/>
      <c r="O170" s="430"/>
      <c r="P170" s="430"/>
      <c r="Q170" s="432">
        <f t="shared" ref="Q170" si="12">Q146+1</f>
        <v>9</v>
      </c>
      <c r="S170" s="3" t="s">
        <v>50</v>
      </c>
    </row>
    <row r="171" spans="1:19" s="4" customFormat="1" ht="13.5" customHeight="1" thickBot="1" x14ac:dyDescent="0.3">
      <c r="B171" s="137"/>
      <c r="C171" s="138"/>
      <c r="D171" s="138"/>
      <c r="E171" s="138"/>
      <c r="F171" s="138"/>
      <c r="G171" s="148" t="s">
        <v>25</v>
      </c>
      <c r="H171" s="158" t="s">
        <v>24</v>
      </c>
      <c r="I171" s="148" t="s">
        <v>18</v>
      </c>
      <c r="J171" s="148" t="s">
        <v>23</v>
      </c>
      <c r="K171" s="148" t="s">
        <v>22</v>
      </c>
      <c r="L171" s="148" t="s">
        <v>21</v>
      </c>
      <c r="M171" s="431"/>
      <c r="N171" s="431"/>
      <c r="O171" s="431"/>
      <c r="P171" s="431"/>
      <c r="Q171" s="433"/>
      <c r="S171" s="3" t="s">
        <v>50</v>
      </c>
    </row>
    <row r="172" spans="1:19" ht="22.5" customHeight="1" x14ac:dyDescent="0.25">
      <c r="A172" s="82" t="s">
        <v>11</v>
      </c>
      <c r="B172" s="434" t="str">
        <f>Содержание!$G$13</f>
        <v>ОПУ совмещенный с КРУЭ. Силовая сеть</v>
      </c>
      <c r="C172" s="149" t="s">
        <v>285</v>
      </c>
      <c r="D172" s="161" t="s">
        <v>60</v>
      </c>
      <c r="E172" s="150" t="s">
        <v>200</v>
      </c>
      <c r="F172" s="436" t="s">
        <v>266</v>
      </c>
      <c r="G172" s="436"/>
      <c r="H172" s="436"/>
      <c r="I172" s="436"/>
      <c r="J172" s="436"/>
      <c r="K172" s="436"/>
      <c r="L172" s="436"/>
      <c r="M172" s="436"/>
      <c r="N172" s="151" t="s">
        <v>344</v>
      </c>
      <c r="O172" s="151">
        <v>23</v>
      </c>
      <c r="P172" s="437"/>
      <c r="Q172" s="438"/>
      <c r="R172" s="3" t="str">
        <f>B172</f>
        <v>ОПУ совмещенный с КРУЭ. Силовая сеть</v>
      </c>
      <c r="S172" s="3" t="s">
        <v>50</v>
      </c>
    </row>
    <row r="173" spans="1:19" ht="22.5" customHeight="1" x14ac:dyDescent="0.25">
      <c r="A173" s="82" t="s">
        <v>11</v>
      </c>
      <c r="B173" s="435"/>
      <c r="C173" s="152" t="s">
        <v>286</v>
      </c>
      <c r="D173" s="162" t="s">
        <v>60</v>
      </c>
      <c r="E173" s="153" t="s">
        <v>200</v>
      </c>
      <c r="F173" s="439" t="s">
        <v>268</v>
      </c>
      <c r="G173" s="440"/>
      <c r="H173" s="440"/>
      <c r="I173" s="440"/>
      <c r="J173" s="440"/>
      <c r="K173" s="440"/>
      <c r="L173" s="440"/>
      <c r="M173" s="441"/>
      <c r="N173" s="154" t="s">
        <v>345</v>
      </c>
      <c r="O173" s="154">
        <v>23</v>
      </c>
      <c r="P173" s="424"/>
      <c r="Q173" s="425"/>
      <c r="R173" s="3" t="str">
        <f>R172</f>
        <v>ОПУ совмещенный с КРУЭ. Силовая сеть</v>
      </c>
      <c r="S173" s="3" t="s">
        <v>50</v>
      </c>
    </row>
    <row r="174" spans="1:19" ht="22.5" customHeight="1" x14ac:dyDescent="0.25">
      <c r="A174" s="82" t="s">
        <v>11</v>
      </c>
      <c r="B174" s="435"/>
      <c r="C174" s="152" t="s">
        <v>287</v>
      </c>
      <c r="D174" s="162" t="s">
        <v>60</v>
      </c>
      <c r="E174" s="153" t="s">
        <v>193</v>
      </c>
      <c r="F174" s="439" t="s">
        <v>346</v>
      </c>
      <c r="G174" s="440"/>
      <c r="H174" s="440"/>
      <c r="I174" s="440"/>
      <c r="J174" s="440"/>
      <c r="K174" s="440"/>
      <c r="L174" s="440"/>
      <c r="M174" s="441"/>
      <c r="N174" s="154" t="s">
        <v>347</v>
      </c>
      <c r="O174" s="154">
        <v>27</v>
      </c>
      <c r="P174" s="424"/>
      <c r="Q174" s="425"/>
      <c r="R174" s="3" t="str">
        <f t="shared" ref="R174:R191" si="13">R173</f>
        <v>ОПУ совмещенный с КРУЭ. Силовая сеть</v>
      </c>
      <c r="S174" s="3" t="s">
        <v>50</v>
      </c>
    </row>
    <row r="175" spans="1:19" ht="22.5" customHeight="1" x14ac:dyDescent="0.25">
      <c r="A175" s="82" t="s">
        <v>11</v>
      </c>
      <c r="B175" s="435"/>
      <c r="C175" s="152" t="s">
        <v>288</v>
      </c>
      <c r="D175" s="153" t="s">
        <v>59</v>
      </c>
      <c r="E175" s="153" t="s">
        <v>200</v>
      </c>
      <c r="F175" s="439" t="s">
        <v>266</v>
      </c>
      <c r="G175" s="440"/>
      <c r="H175" s="440"/>
      <c r="I175" s="440"/>
      <c r="J175" s="440"/>
      <c r="K175" s="440"/>
      <c r="L175" s="440"/>
      <c r="M175" s="441"/>
      <c r="N175" s="154" t="s">
        <v>348</v>
      </c>
      <c r="O175" s="154">
        <v>25</v>
      </c>
      <c r="P175" s="424"/>
      <c r="Q175" s="425"/>
      <c r="R175" s="3" t="str">
        <f t="shared" si="13"/>
        <v>ОПУ совмещенный с КРУЭ. Силовая сеть</v>
      </c>
      <c r="S175" s="3" t="s">
        <v>50</v>
      </c>
    </row>
    <row r="176" spans="1:19" ht="22.5" customHeight="1" x14ac:dyDescent="0.25">
      <c r="A176" s="82" t="s">
        <v>11</v>
      </c>
      <c r="B176" s="435"/>
      <c r="C176" s="152" t="s">
        <v>289</v>
      </c>
      <c r="D176" s="153" t="s">
        <v>59</v>
      </c>
      <c r="E176" s="153" t="s">
        <v>200</v>
      </c>
      <c r="F176" s="439" t="s">
        <v>268</v>
      </c>
      <c r="G176" s="440"/>
      <c r="H176" s="440"/>
      <c r="I176" s="440"/>
      <c r="J176" s="440"/>
      <c r="K176" s="440"/>
      <c r="L176" s="440"/>
      <c r="M176" s="441"/>
      <c r="N176" s="154" t="s">
        <v>349</v>
      </c>
      <c r="O176" s="154">
        <v>25</v>
      </c>
      <c r="P176" s="424"/>
      <c r="Q176" s="425"/>
      <c r="R176" s="3" t="str">
        <f t="shared" si="13"/>
        <v>ОПУ совмещенный с КРУЭ. Силовая сеть</v>
      </c>
      <c r="S176" s="3" t="s">
        <v>50</v>
      </c>
    </row>
    <row r="177" spans="1:19" ht="22.5" customHeight="1" x14ac:dyDescent="0.25">
      <c r="A177" s="82" t="s">
        <v>11</v>
      </c>
      <c r="B177" s="435"/>
      <c r="C177" s="152" t="s">
        <v>290</v>
      </c>
      <c r="D177" s="153" t="s">
        <v>59</v>
      </c>
      <c r="E177" s="153" t="s">
        <v>200</v>
      </c>
      <c r="F177" s="439" t="s">
        <v>266</v>
      </c>
      <c r="G177" s="440"/>
      <c r="H177" s="440"/>
      <c r="I177" s="440"/>
      <c r="J177" s="440"/>
      <c r="K177" s="440"/>
      <c r="L177" s="440"/>
      <c r="M177" s="441"/>
      <c r="N177" s="154" t="s">
        <v>376</v>
      </c>
      <c r="O177" s="154">
        <v>19</v>
      </c>
      <c r="P177" s="424"/>
      <c r="Q177" s="425"/>
      <c r="R177" s="3" t="str">
        <f t="shared" si="13"/>
        <v>ОПУ совмещенный с КРУЭ. Силовая сеть</v>
      </c>
      <c r="S177" s="3" t="s">
        <v>50</v>
      </c>
    </row>
    <row r="178" spans="1:19" ht="22.5" customHeight="1" x14ac:dyDescent="0.25">
      <c r="A178" s="82" t="s">
        <v>11</v>
      </c>
      <c r="B178" s="435"/>
      <c r="C178" s="152" t="s">
        <v>291</v>
      </c>
      <c r="D178" s="153" t="s">
        <v>59</v>
      </c>
      <c r="E178" s="153" t="s">
        <v>193</v>
      </c>
      <c r="F178" s="439" t="s">
        <v>376</v>
      </c>
      <c r="G178" s="440"/>
      <c r="H178" s="440"/>
      <c r="I178" s="440"/>
      <c r="J178" s="440"/>
      <c r="K178" s="440"/>
      <c r="L178" s="440"/>
      <c r="M178" s="441"/>
      <c r="N178" s="154" t="s">
        <v>379</v>
      </c>
      <c r="O178" s="154">
        <v>49</v>
      </c>
      <c r="P178" s="424"/>
      <c r="Q178" s="425"/>
      <c r="R178" s="3" t="str">
        <f t="shared" si="13"/>
        <v>ОПУ совмещенный с КРУЭ. Силовая сеть</v>
      </c>
      <c r="S178" s="3" t="s">
        <v>50</v>
      </c>
    </row>
    <row r="179" spans="1:19" ht="22.5" customHeight="1" x14ac:dyDescent="0.25">
      <c r="A179" s="82" t="s">
        <v>11</v>
      </c>
      <c r="B179" s="435"/>
      <c r="C179" s="152" t="s">
        <v>292</v>
      </c>
      <c r="D179" s="153" t="s">
        <v>59</v>
      </c>
      <c r="E179" s="153" t="s">
        <v>244</v>
      </c>
      <c r="F179" s="439" t="s">
        <v>379</v>
      </c>
      <c r="G179" s="440"/>
      <c r="H179" s="440"/>
      <c r="I179" s="440"/>
      <c r="J179" s="440"/>
      <c r="K179" s="440"/>
      <c r="L179" s="440"/>
      <c r="M179" s="441"/>
      <c r="N179" s="154" t="s">
        <v>350</v>
      </c>
      <c r="O179" s="154">
        <v>12</v>
      </c>
      <c r="P179" s="424"/>
      <c r="Q179" s="425"/>
      <c r="R179" s="3" t="str">
        <f t="shared" si="13"/>
        <v>ОПУ совмещенный с КРУЭ. Силовая сеть</v>
      </c>
      <c r="S179" s="3" t="s">
        <v>50</v>
      </c>
    </row>
    <row r="180" spans="1:19" ht="22.5" customHeight="1" x14ac:dyDescent="0.25">
      <c r="A180" s="82" t="s">
        <v>11</v>
      </c>
      <c r="B180" s="435"/>
      <c r="C180" s="152" t="s">
        <v>293</v>
      </c>
      <c r="D180" s="153" t="s">
        <v>59</v>
      </c>
      <c r="E180" s="153" t="s">
        <v>193</v>
      </c>
      <c r="F180" s="439" t="s">
        <v>376</v>
      </c>
      <c r="G180" s="440"/>
      <c r="H180" s="440"/>
      <c r="I180" s="440"/>
      <c r="J180" s="440"/>
      <c r="K180" s="440"/>
      <c r="L180" s="440"/>
      <c r="M180" s="441"/>
      <c r="N180" s="154" t="s">
        <v>379</v>
      </c>
      <c r="O180" s="154">
        <v>59</v>
      </c>
      <c r="P180" s="424"/>
      <c r="Q180" s="425"/>
      <c r="R180" s="3" t="str">
        <f t="shared" si="13"/>
        <v>ОПУ совмещенный с КРУЭ. Силовая сеть</v>
      </c>
      <c r="S180" s="3" t="s">
        <v>50</v>
      </c>
    </row>
    <row r="181" spans="1:19" ht="22.5" customHeight="1" x14ac:dyDescent="0.25">
      <c r="A181" s="82" t="s">
        <v>11</v>
      </c>
      <c r="B181" s="435"/>
      <c r="C181" s="152" t="s">
        <v>294</v>
      </c>
      <c r="D181" s="153" t="s">
        <v>59</v>
      </c>
      <c r="E181" s="153" t="s">
        <v>244</v>
      </c>
      <c r="F181" s="439" t="s">
        <v>376</v>
      </c>
      <c r="G181" s="440"/>
      <c r="H181" s="440"/>
      <c r="I181" s="440"/>
      <c r="J181" s="440"/>
      <c r="K181" s="440"/>
      <c r="L181" s="440"/>
      <c r="M181" s="441"/>
      <c r="N181" s="154" t="s">
        <v>351</v>
      </c>
      <c r="O181" s="154">
        <v>11</v>
      </c>
      <c r="P181" s="424"/>
      <c r="Q181" s="425"/>
      <c r="R181" s="3" t="str">
        <f t="shared" si="13"/>
        <v>ОПУ совмещенный с КРУЭ. Силовая сеть</v>
      </c>
      <c r="S181" s="3" t="s">
        <v>50</v>
      </c>
    </row>
    <row r="182" spans="1:19" ht="22.5" customHeight="1" x14ac:dyDescent="0.25">
      <c r="A182" s="82" t="s">
        <v>11</v>
      </c>
      <c r="B182" s="435"/>
      <c r="C182" s="152" t="s">
        <v>295</v>
      </c>
      <c r="D182" s="153" t="s">
        <v>59</v>
      </c>
      <c r="E182" s="153" t="s">
        <v>244</v>
      </c>
      <c r="F182" s="439" t="s">
        <v>376</v>
      </c>
      <c r="G182" s="440"/>
      <c r="H182" s="440"/>
      <c r="I182" s="440"/>
      <c r="J182" s="440"/>
      <c r="K182" s="440"/>
      <c r="L182" s="440"/>
      <c r="M182" s="441"/>
      <c r="N182" s="154" t="s">
        <v>352</v>
      </c>
      <c r="O182" s="154">
        <v>22</v>
      </c>
      <c r="P182" s="424"/>
      <c r="Q182" s="425"/>
      <c r="R182" s="3" t="str">
        <f t="shared" si="13"/>
        <v>ОПУ совмещенный с КРУЭ. Силовая сеть</v>
      </c>
      <c r="S182" s="3" t="s">
        <v>50</v>
      </c>
    </row>
    <row r="183" spans="1:19" ht="22.5" customHeight="1" x14ac:dyDescent="0.25">
      <c r="A183" s="82" t="s">
        <v>11</v>
      </c>
      <c r="B183" s="435"/>
      <c r="C183" s="152" t="s">
        <v>296</v>
      </c>
      <c r="D183" s="153" t="s">
        <v>59</v>
      </c>
      <c r="E183" s="153" t="s">
        <v>244</v>
      </c>
      <c r="F183" s="439" t="s">
        <v>376</v>
      </c>
      <c r="G183" s="440"/>
      <c r="H183" s="440"/>
      <c r="I183" s="440"/>
      <c r="J183" s="440"/>
      <c r="K183" s="440"/>
      <c r="L183" s="440"/>
      <c r="M183" s="441"/>
      <c r="N183" s="154" t="s">
        <v>353</v>
      </c>
      <c r="O183" s="154">
        <v>23</v>
      </c>
      <c r="P183" s="424"/>
      <c r="Q183" s="425"/>
      <c r="R183" s="3" t="str">
        <f t="shared" si="13"/>
        <v>ОПУ совмещенный с КРУЭ. Силовая сеть</v>
      </c>
      <c r="S183" s="3" t="s">
        <v>50</v>
      </c>
    </row>
    <row r="184" spans="1:19" ht="22.5" customHeight="1" x14ac:dyDescent="0.25">
      <c r="A184" s="82" t="s">
        <v>11</v>
      </c>
      <c r="B184" s="435"/>
      <c r="C184" s="152" t="s">
        <v>297</v>
      </c>
      <c r="D184" s="153" t="s">
        <v>59</v>
      </c>
      <c r="E184" s="153" t="s">
        <v>244</v>
      </c>
      <c r="F184" s="439" t="s">
        <v>376</v>
      </c>
      <c r="G184" s="440"/>
      <c r="H184" s="440"/>
      <c r="I184" s="440"/>
      <c r="J184" s="440"/>
      <c r="K184" s="440"/>
      <c r="L184" s="440"/>
      <c r="M184" s="441"/>
      <c r="N184" s="154" t="s">
        <v>354</v>
      </c>
      <c r="O184" s="154">
        <v>28</v>
      </c>
      <c r="P184" s="424"/>
      <c r="Q184" s="425"/>
      <c r="R184" s="3" t="str">
        <f t="shared" si="13"/>
        <v>ОПУ совмещенный с КРУЭ. Силовая сеть</v>
      </c>
      <c r="S184" s="3" t="s">
        <v>50</v>
      </c>
    </row>
    <row r="185" spans="1:19" ht="22.5" customHeight="1" x14ac:dyDescent="0.25">
      <c r="A185" s="82" t="s">
        <v>11</v>
      </c>
      <c r="B185" s="435"/>
      <c r="C185" s="152" t="s">
        <v>298</v>
      </c>
      <c r="D185" s="153" t="s">
        <v>59</v>
      </c>
      <c r="E185" s="153" t="s">
        <v>244</v>
      </c>
      <c r="F185" s="439" t="s">
        <v>376</v>
      </c>
      <c r="G185" s="440"/>
      <c r="H185" s="440"/>
      <c r="I185" s="440"/>
      <c r="J185" s="440"/>
      <c r="K185" s="440"/>
      <c r="L185" s="440"/>
      <c r="M185" s="441"/>
      <c r="N185" s="154" t="s">
        <v>355</v>
      </c>
      <c r="O185" s="154">
        <v>24</v>
      </c>
      <c r="P185" s="424"/>
      <c r="Q185" s="425"/>
      <c r="R185" s="3" t="str">
        <f t="shared" si="13"/>
        <v>ОПУ совмещенный с КРУЭ. Силовая сеть</v>
      </c>
      <c r="S185" s="3" t="s">
        <v>50</v>
      </c>
    </row>
    <row r="186" spans="1:19" ht="22.5" customHeight="1" x14ac:dyDescent="0.25">
      <c r="A186" s="82" t="s">
        <v>11</v>
      </c>
      <c r="B186" s="435"/>
      <c r="C186" s="152" t="s">
        <v>299</v>
      </c>
      <c r="D186" s="153" t="s">
        <v>59</v>
      </c>
      <c r="E186" s="153" t="s">
        <v>210</v>
      </c>
      <c r="F186" s="439" t="s">
        <v>70</v>
      </c>
      <c r="G186" s="440"/>
      <c r="H186" s="440"/>
      <c r="I186" s="440"/>
      <c r="J186" s="440"/>
      <c r="K186" s="440"/>
      <c r="L186" s="440"/>
      <c r="M186" s="441"/>
      <c r="N186" s="154" t="s">
        <v>377</v>
      </c>
      <c r="O186" s="154">
        <v>31</v>
      </c>
      <c r="P186" s="424"/>
      <c r="Q186" s="425"/>
      <c r="R186" s="3" t="str">
        <f t="shared" si="13"/>
        <v>ОПУ совмещенный с КРУЭ. Силовая сеть</v>
      </c>
      <c r="S186" s="3" t="s">
        <v>50</v>
      </c>
    </row>
    <row r="187" spans="1:19" ht="22.5" customHeight="1" x14ac:dyDescent="0.25">
      <c r="A187" s="82" t="s">
        <v>11</v>
      </c>
      <c r="B187" s="435"/>
      <c r="C187" s="152" t="s">
        <v>300</v>
      </c>
      <c r="D187" s="153" t="s">
        <v>59</v>
      </c>
      <c r="E187" s="153" t="s">
        <v>245</v>
      </c>
      <c r="F187" s="439" t="s">
        <v>377</v>
      </c>
      <c r="G187" s="440"/>
      <c r="H187" s="440"/>
      <c r="I187" s="440"/>
      <c r="J187" s="440"/>
      <c r="K187" s="440"/>
      <c r="L187" s="440"/>
      <c r="M187" s="441"/>
      <c r="N187" s="154" t="s">
        <v>356</v>
      </c>
      <c r="O187" s="154">
        <v>26</v>
      </c>
      <c r="P187" s="424"/>
      <c r="Q187" s="425"/>
      <c r="R187" s="3" t="str">
        <f t="shared" si="13"/>
        <v>ОПУ совмещенный с КРУЭ. Силовая сеть</v>
      </c>
      <c r="S187" s="3" t="s">
        <v>50</v>
      </c>
    </row>
    <row r="188" spans="1:19" ht="22.5" customHeight="1" x14ac:dyDescent="0.25">
      <c r="A188" s="82" t="s">
        <v>11</v>
      </c>
      <c r="B188" s="435"/>
      <c r="C188" s="152" t="s">
        <v>301</v>
      </c>
      <c r="D188" s="153" t="s">
        <v>59</v>
      </c>
      <c r="E188" s="153" t="s">
        <v>245</v>
      </c>
      <c r="F188" s="439" t="s">
        <v>377</v>
      </c>
      <c r="G188" s="440"/>
      <c r="H188" s="440"/>
      <c r="I188" s="440"/>
      <c r="J188" s="440"/>
      <c r="K188" s="440"/>
      <c r="L188" s="440"/>
      <c r="M188" s="441"/>
      <c r="N188" s="154" t="s">
        <v>357</v>
      </c>
      <c r="O188" s="154">
        <v>29</v>
      </c>
      <c r="P188" s="424"/>
      <c r="Q188" s="425"/>
      <c r="R188" s="3" t="str">
        <f t="shared" si="13"/>
        <v>ОПУ совмещенный с КРУЭ. Силовая сеть</v>
      </c>
      <c r="S188" s="3" t="s">
        <v>50</v>
      </c>
    </row>
    <row r="189" spans="1:19" ht="22.5" customHeight="1" x14ac:dyDescent="0.25">
      <c r="A189" s="82" t="s">
        <v>11</v>
      </c>
      <c r="B189" s="435"/>
      <c r="C189" s="152"/>
      <c r="D189" s="153"/>
      <c r="E189" s="153"/>
      <c r="F189" s="439"/>
      <c r="G189" s="440"/>
      <c r="H189" s="440"/>
      <c r="I189" s="440"/>
      <c r="J189" s="440"/>
      <c r="K189" s="440"/>
      <c r="L189" s="440"/>
      <c r="M189" s="441"/>
      <c r="N189" s="154"/>
      <c r="O189" s="154"/>
      <c r="P189" s="424"/>
      <c r="Q189" s="425"/>
      <c r="R189" s="3" t="str">
        <f t="shared" si="13"/>
        <v>ОПУ совмещенный с КРУЭ. Силовая сеть</v>
      </c>
      <c r="S189" s="3" t="s">
        <v>50</v>
      </c>
    </row>
    <row r="190" spans="1:19" ht="22.5" customHeight="1" x14ac:dyDescent="0.25">
      <c r="A190" s="82" t="s">
        <v>11</v>
      </c>
      <c r="B190" s="435"/>
      <c r="C190" s="152"/>
      <c r="D190" s="153"/>
      <c r="E190" s="153"/>
      <c r="F190" s="423"/>
      <c r="G190" s="423"/>
      <c r="H190" s="423"/>
      <c r="I190" s="423"/>
      <c r="J190" s="423"/>
      <c r="K190" s="423"/>
      <c r="L190" s="423"/>
      <c r="M190" s="423"/>
      <c r="N190" s="154"/>
      <c r="O190" s="154"/>
      <c r="P190" s="424"/>
      <c r="Q190" s="425"/>
      <c r="R190" s="3" t="str">
        <f t="shared" si="13"/>
        <v>ОПУ совмещенный с КРУЭ. Силовая сеть</v>
      </c>
      <c r="S190" s="3" t="s">
        <v>50</v>
      </c>
    </row>
    <row r="191" spans="1:19" ht="22.5" customHeight="1" thickBot="1" x14ac:dyDescent="0.3">
      <c r="A191" s="82" t="s">
        <v>11</v>
      </c>
      <c r="B191" s="435"/>
      <c r="C191" s="155"/>
      <c r="D191" s="156"/>
      <c r="E191" s="156"/>
      <c r="F191" s="426"/>
      <c r="G191" s="426"/>
      <c r="H191" s="426"/>
      <c r="I191" s="426"/>
      <c r="J191" s="426"/>
      <c r="K191" s="426"/>
      <c r="L191" s="426"/>
      <c r="M191" s="426"/>
      <c r="N191" s="157"/>
      <c r="O191" s="157"/>
      <c r="P191" s="427"/>
      <c r="Q191" s="428"/>
      <c r="R191" s="3" t="str">
        <f t="shared" si="13"/>
        <v>ОПУ совмещенный с КРУЭ. Силовая сеть</v>
      </c>
      <c r="S191" s="3" t="s">
        <v>50</v>
      </c>
    </row>
    <row r="192" spans="1:19" ht="13.5" customHeight="1" thickBot="1" x14ac:dyDescent="0.3">
      <c r="B192" s="29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139"/>
      <c r="P192" s="30"/>
      <c r="Q192" s="31"/>
      <c r="S192" s="3" t="s">
        <v>50</v>
      </c>
    </row>
    <row r="193" spans="1:19" s="4" customFormat="1" ht="13.5" customHeight="1" thickBot="1" x14ac:dyDescent="0.3">
      <c r="B193" s="140"/>
      <c r="C193" s="141"/>
      <c r="D193" s="141"/>
      <c r="E193" s="141"/>
      <c r="F193" s="141"/>
      <c r="G193" s="146"/>
      <c r="H193" s="146"/>
      <c r="I193" s="146"/>
      <c r="J193" s="146"/>
      <c r="K193" s="146"/>
      <c r="L193" s="146"/>
      <c r="M193" s="429" t="str">
        <f>Содержание!$AJ$29</f>
        <v>29-КМЧ-2015-027-ЭП.С</v>
      </c>
      <c r="N193" s="429"/>
      <c r="O193" s="429"/>
      <c r="P193" s="429"/>
      <c r="Q193" s="145" t="s">
        <v>18</v>
      </c>
      <c r="S193" s="3" t="s">
        <v>50</v>
      </c>
    </row>
    <row r="194" spans="1:19" s="4" customFormat="1" ht="13.5" customHeight="1" x14ac:dyDescent="0.25">
      <c r="B194" s="140"/>
      <c r="C194" s="141"/>
      <c r="D194" s="141"/>
      <c r="E194" s="141"/>
      <c r="F194" s="141"/>
      <c r="G194" s="147"/>
      <c r="H194" s="147"/>
      <c r="I194" s="147"/>
      <c r="J194" s="147"/>
      <c r="K194" s="147"/>
      <c r="L194" s="147"/>
      <c r="M194" s="430"/>
      <c r="N194" s="430"/>
      <c r="O194" s="430"/>
      <c r="P194" s="430"/>
      <c r="Q194" s="432">
        <f t="shared" ref="Q194" si="14">Q170+1</f>
        <v>10</v>
      </c>
      <c r="S194" s="3" t="s">
        <v>50</v>
      </c>
    </row>
    <row r="195" spans="1:19" s="4" customFormat="1" ht="13.5" customHeight="1" thickBot="1" x14ac:dyDescent="0.3">
      <c r="B195" s="137"/>
      <c r="C195" s="138"/>
      <c r="D195" s="138"/>
      <c r="E195" s="138"/>
      <c r="F195" s="138"/>
      <c r="G195" s="148" t="s">
        <v>25</v>
      </c>
      <c r="H195" s="158" t="s">
        <v>24</v>
      </c>
      <c r="I195" s="148" t="s">
        <v>18</v>
      </c>
      <c r="J195" s="148" t="s">
        <v>23</v>
      </c>
      <c r="K195" s="148" t="s">
        <v>22</v>
      </c>
      <c r="L195" s="148" t="s">
        <v>21</v>
      </c>
      <c r="M195" s="431"/>
      <c r="N195" s="431"/>
      <c r="O195" s="431"/>
      <c r="P195" s="431"/>
      <c r="Q195" s="433"/>
      <c r="S195" s="3" t="s">
        <v>50</v>
      </c>
    </row>
    <row r="196" spans="1:19" ht="22.5" customHeight="1" x14ac:dyDescent="0.25">
      <c r="A196" s="82" t="s">
        <v>11</v>
      </c>
      <c r="B196" s="434" t="str">
        <f>Содержание!$G$13</f>
        <v>ОПУ совмещенный с КРУЭ. Силовая сеть</v>
      </c>
      <c r="C196" s="149" t="s">
        <v>302</v>
      </c>
      <c r="D196" s="150" t="s">
        <v>59</v>
      </c>
      <c r="E196" s="150" t="s">
        <v>245</v>
      </c>
      <c r="F196" s="436" t="s">
        <v>377</v>
      </c>
      <c r="G196" s="436"/>
      <c r="H196" s="436"/>
      <c r="I196" s="436"/>
      <c r="J196" s="436"/>
      <c r="K196" s="436"/>
      <c r="L196" s="436"/>
      <c r="M196" s="436"/>
      <c r="N196" s="151" t="s">
        <v>358</v>
      </c>
      <c r="O196" s="151">
        <v>16</v>
      </c>
      <c r="P196" s="437"/>
      <c r="Q196" s="438"/>
      <c r="R196" s="3" t="str">
        <f>B196</f>
        <v>ОПУ совмещенный с КРУЭ. Силовая сеть</v>
      </c>
      <c r="S196" s="3" t="s">
        <v>50</v>
      </c>
    </row>
    <row r="197" spans="1:19" ht="22.5" customHeight="1" x14ac:dyDescent="0.25">
      <c r="A197" s="82" t="s">
        <v>11</v>
      </c>
      <c r="B197" s="435"/>
      <c r="C197" s="152" t="s">
        <v>303</v>
      </c>
      <c r="D197" s="153" t="s">
        <v>59</v>
      </c>
      <c r="E197" s="153" t="s">
        <v>245</v>
      </c>
      <c r="F197" s="439" t="s">
        <v>377</v>
      </c>
      <c r="G197" s="440"/>
      <c r="H197" s="440"/>
      <c r="I197" s="440"/>
      <c r="J197" s="440"/>
      <c r="K197" s="440"/>
      <c r="L197" s="440"/>
      <c r="M197" s="441"/>
      <c r="N197" s="154" t="s">
        <v>359</v>
      </c>
      <c r="O197" s="154">
        <v>19</v>
      </c>
      <c r="P197" s="424"/>
      <c r="Q197" s="425"/>
      <c r="R197" s="3" t="str">
        <f>R196</f>
        <v>ОПУ совмещенный с КРУЭ. Силовая сеть</v>
      </c>
      <c r="S197" s="3" t="s">
        <v>50</v>
      </c>
    </row>
    <row r="198" spans="1:19" ht="22.5" customHeight="1" x14ac:dyDescent="0.25">
      <c r="A198" s="82" t="s">
        <v>11</v>
      </c>
      <c r="B198" s="435"/>
      <c r="C198" s="152" t="s">
        <v>304</v>
      </c>
      <c r="D198" s="153" t="s">
        <v>59</v>
      </c>
      <c r="E198" s="153" t="s">
        <v>244</v>
      </c>
      <c r="F198" s="439" t="s">
        <v>377</v>
      </c>
      <c r="G198" s="440"/>
      <c r="H198" s="440"/>
      <c r="I198" s="440"/>
      <c r="J198" s="440"/>
      <c r="K198" s="440"/>
      <c r="L198" s="440"/>
      <c r="M198" s="441"/>
      <c r="N198" s="154" t="s">
        <v>360</v>
      </c>
      <c r="O198" s="154">
        <v>27</v>
      </c>
      <c r="P198" s="424"/>
      <c r="Q198" s="425"/>
      <c r="R198" s="3" t="str">
        <f t="shared" ref="R198:R215" si="15">R197</f>
        <v>ОПУ совмещенный с КРУЭ. Силовая сеть</v>
      </c>
      <c r="S198" s="3" t="s">
        <v>50</v>
      </c>
    </row>
    <row r="199" spans="1:19" ht="22.5" customHeight="1" x14ac:dyDescent="0.25">
      <c r="A199" s="82" t="s">
        <v>11</v>
      </c>
      <c r="B199" s="435"/>
      <c r="C199" s="152" t="s">
        <v>305</v>
      </c>
      <c r="D199" s="153" t="s">
        <v>59</v>
      </c>
      <c r="E199" s="153" t="s">
        <v>244</v>
      </c>
      <c r="F199" s="439" t="s">
        <v>377</v>
      </c>
      <c r="G199" s="440"/>
      <c r="H199" s="440"/>
      <c r="I199" s="440"/>
      <c r="J199" s="440"/>
      <c r="K199" s="440"/>
      <c r="L199" s="440"/>
      <c r="M199" s="441"/>
      <c r="N199" s="154" t="s">
        <v>361</v>
      </c>
      <c r="O199" s="154">
        <v>27</v>
      </c>
      <c r="P199" s="424"/>
      <c r="Q199" s="425"/>
      <c r="R199" s="3" t="str">
        <f t="shared" si="15"/>
        <v>ОПУ совмещенный с КРУЭ. Силовая сеть</v>
      </c>
      <c r="S199" s="3" t="s">
        <v>50</v>
      </c>
    </row>
    <row r="200" spans="1:19" ht="22.5" customHeight="1" x14ac:dyDescent="0.25">
      <c r="A200" s="82" t="s">
        <v>11</v>
      </c>
      <c r="B200" s="435"/>
      <c r="C200" s="152" t="s">
        <v>306</v>
      </c>
      <c r="D200" s="153" t="s">
        <v>59</v>
      </c>
      <c r="E200" s="153" t="s">
        <v>193</v>
      </c>
      <c r="F200" s="439" t="s">
        <v>377</v>
      </c>
      <c r="G200" s="440"/>
      <c r="H200" s="440"/>
      <c r="I200" s="440"/>
      <c r="J200" s="440"/>
      <c r="K200" s="440"/>
      <c r="L200" s="440"/>
      <c r="M200" s="441"/>
      <c r="N200" s="154" t="s">
        <v>379</v>
      </c>
      <c r="O200" s="154">
        <v>32</v>
      </c>
      <c r="P200" s="424"/>
      <c r="Q200" s="425"/>
      <c r="R200" s="3" t="str">
        <f t="shared" si="15"/>
        <v>ОПУ совмещенный с КРУЭ. Силовая сеть</v>
      </c>
      <c r="S200" s="3" t="s">
        <v>50</v>
      </c>
    </row>
    <row r="201" spans="1:19" ht="22.5" customHeight="1" x14ac:dyDescent="0.25">
      <c r="A201" s="82" t="s">
        <v>11</v>
      </c>
      <c r="B201" s="435"/>
      <c r="C201" s="152" t="s">
        <v>307</v>
      </c>
      <c r="D201" s="153" t="s">
        <v>59</v>
      </c>
      <c r="E201" s="153" t="s">
        <v>244</v>
      </c>
      <c r="F201" s="439" t="s">
        <v>379</v>
      </c>
      <c r="G201" s="440"/>
      <c r="H201" s="440"/>
      <c r="I201" s="440"/>
      <c r="J201" s="440"/>
      <c r="K201" s="440"/>
      <c r="L201" s="440"/>
      <c r="M201" s="441"/>
      <c r="N201" s="154" t="s">
        <v>362</v>
      </c>
      <c r="O201" s="154">
        <v>11</v>
      </c>
      <c r="P201" s="424"/>
      <c r="Q201" s="425"/>
      <c r="R201" s="3" t="str">
        <f t="shared" si="15"/>
        <v>ОПУ совмещенный с КРУЭ. Силовая сеть</v>
      </c>
      <c r="S201" s="3" t="s">
        <v>50</v>
      </c>
    </row>
    <row r="202" spans="1:19" ht="22.5" customHeight="1" x14ac:dyDescent="0.25">
      <c r="A202" s="82" t="s">
        <v>11</v>
      </c>
      <c r="B202" s="435"/>
      <c r="C202" s="152" t="s">
        <v>308</v>
      </c>
      <c r="D202" s="153" t="s">
        <v>59</v>
      </c>
      <c r="E202" s="153" t="s">
        <v>244</v>
      </c>
      <c r="F202" s="439" t="s">
        <v>377</v>
      </c>
      <c r="G202" s="440"/>
      <c r="H202" s="440"/>
      <c r="I202" s="440"/>
      <c r="J202" s="440"/>
      <c r="K202" s="440"/>
      <c r="L202" s="440"/>
      <c r="M202" s="441"/>
      <c r="N202" s="154" t="s">
        <v>363</v>
      </c>
      <c r="O202" s="154">
        <v>30</v>
      </c>
      <c r="P202" s="424"/>
      <c r="Q202" s="425"/>
      <c r="R202" s="3" t="str">
        <f t="shared" si="15"/>
        <v>ОПУ совмещенный с КРУЭ. Силовая сеть</v>
      </c>
      <c r="S202" s="3" t="s">
        <v>50</v>
      </c>
    </row>
    <row r="203" spans="1:19" ht="22.5" customHeight="1" x14ac:dyDescent="0.25">
      <c r="A203" s="82" t="s">
        <v>11</v>
      </c>
      <c r="B203" s="435"/>
      <c r="C203" s="152" t="s">
        <v>309</v>
      </c>
      <c r="D203" s="153" t="s">
        <v>59</v>
      </c>
      <c r="E203" s="153" t="s">
        <v>210</v>
      </c>
      <c r="F203" s="439" t="s">
        <v>69</v>
      </c>
      <c r="G203" s="440"/>
      <c r="H203" s="440"/>
      <c r="I203" s="440"/>
      <c r="J203" s="440"/>
      <c r="K203" s="440"/>
      <c r="L203" s="440"/>
      <c r="M203" s="441"/>
      <c r="N203" s="154" t="s">
        <v>378</v>
      </c>
      <c r="O203" s="154">
        <v>40</v>
      </c>
      <c r="P203" s="424"/>
      <c r="Q203" s="425"/>
      <c r="R203" s="3" t="str">
        <f t="shared" si="15"/>
        <v>ОПУ совмещенный с КРУЭ. Силовая сеть</v>
      </c>
      <c r="S203" s="3" t="s">
        <v>50</v>
      </c>
    </row>
    <row r="204" spans="1:19" ht="22.5" customHeight="1" x14ac:dyDescent="0.25">
      <c r="A204" s="82" t="s">
        <v>11</v>
      </c>
      <c r="B204" s="435"/>
      <c r="C204" s="152" t="s">
        <v>310</v>
      </c>
      <c r="D204" s="153" t="s">
        <v>59</v>
      </c>
      <c r="E204" s="153" t="s">
        <v>195</v>
      </c>
      <c r="F204" s="439" t="s">
        <v>378</v>
      </c>
      <c r="G204" s="440"/>
      <c r="H204" s="440"/>
      <c r="I204" s="440"/>
      <c r="J204" s="440"/>
      <c r="K204" s="440"/>
      <c r="L204" s="440"/>
      <c r="M204" s="441"/>
      <c r="N204" s="154" t="s">
        <v>379</v>
      </c>
      <c r="O204" s="154">
        <v>48</v>
      </c>
      <c r="P204" s="424"/>
      <c r="Q204" s="425"/>
      <c r="R204" s="3" t="str">
        <f t="shared" si="15"/>
        <v>ОПУ совмещенный с КРУЭ. Силовая сеть</v>
      </c>
      <c r="S204" s="3" t="s">
        <v>50</v>
      </c>
    </row>
    <row r="205" spans="1:19" ht="22.5" customHeight="1" x14ac:dyDescent="0.25">
      <c r="A205" s="82" t="s">
        <v>11</v>
      </c>
      <c r="B205" s="435"/>
      <c r="C205" s="152" t="s">
        <v>311</v>
      </c>
      <c r="D205" s="153" t="s">
        <v>59</v>
      </c>
      <c r="E205" s="153" t="s">
        <v>244</v>
      </c>
      <c r="F205" s="439" t="s">
        <v>379</v>
      </c>
      <c r="G205" s="440"/>
      <c r="H205" s="440"/>
      <c r="I205" s="440"/>
      <c r="J205" s="440"/>
      <c r="K205" s="440"/>
      <c r="L205" s="440"/>
      <c r="M205" s="441"/>
      <c r="N205" s="154" t="s">
        <v>364</v>
      </c>
      <c r="O205" s="154">
        <v>26</v>
      </c>
      <c r="P205" s="424"/>
      <c r="Q205" s="425"/>
      <c r="R205" s="3" t="str">
        <f t="shared" si="15"/>
        <v>ОПУ совмещенный с КРУЭ. Силовая сеть</v>
      </c>
      <c r="S205" s="3" t="s">
        <v>50</v>
      </c>
    </row>
    <row r="206" spans="1:19" ht="22.5" customHeight="1" x14ac:dyDescent="0.25">
      <c r="A206" s="82" t="s">
        <v>11</v>
      </c>
      <c r="B206" s="435"/>
      <c r="C206" s="152" t="s">
        <v>312</v>
      </c>
      <c r="D206" s="153" t="s">
        <v>59</v>
      </c>
      <c r="E206" s="153" t="s">
        <v>195</v>
      </c>
      <c r="F206" s="439" t="s">
        <v>378</v>
      </c>
      <c r="G206" s="440"/>
      <c r="H206" s="440"/>
      <c r="I206" s="440"/>
      <c r="J206" s="440"/>
      <c r="K206" s="440"/>
      <c r="L206" s="440"/>
      <c r="M206" s="441"/>
      <c r="N206" s="154" t="s">
        <v>379</v>
      </c>
      <c r="O206" s="154">
        <v>59</v>
      </c>
      <c r="P206" s="424"/>
      <c r="Q206" s="425"/>
      <c r="R206" s="3" t="str">
        <f t="shared" si="15"/>
        <v>ОПУ совмещенный с КРУЭ. Силовая сеть</v>
      </c>
      <c r="S206" s="3" t="s">
        <v>50</v>
      </c>
    </row>
    <row r="207" spans="1:19" ht="22.5" customHeight="1" x14ac:dyDescent="0.25">
      <c r="A207" s="82" t="s">
        <v>11</v>
      </c>
      <c r="B207" s="435"/>
      <c r="C207" s="152" t="s">
        <v>313</v>
      </c>
      <c r="D207" s="153" t="s">
        <v>59</v>
      </c>
      <c r="E207" s="153" t="s">
        <v>244</v>
      </c>
      <c r="F207" s="439" t="s">
        <v>379</v>
      </c>
      <c r="G207" s="440"/>
      <c r="H207" s="440"/>
      <c r="I207" s="440"/>
      <c r="J207" s="440"/>
      <c r="K207" s="440"/>
      <c r="L207" s="440"/>
      <c r="M207" s="441"/>
      <c r="N207" s="154" t="s">
        <v>365</v>
      </c>
      <c r="O207" s="154">
        <v>26</v>
      </c>
      <c r="P207" s="424"/>
      <c r="Q207" s="425"/>
      <c r="R207" s="3" t="str">
        <f t="shared" si="15"/>
        <v>ОПУ совмещенный с КРУЭ. Силовая сеть</v>
      </c>
      <c r="S207" s="3" t="s">
        <v>50</v>
      </c>
    </row>
    <row r="208" spans="1:19" ht="22.5" customHeight="1" x14ac:dyDescent="0.25">
      <c r="A208" s="82" t="s">
        <v>11</v>
      </c>
      <c r="B208" s="435"/>
      <c r="C208" s="152" t="s">
        <v>314</v>
      </c>
      <c r="D208" s="153" t="s">
        <v>59</v>
      </c>
      <c r="E208" s="153" t="s">
        <v>244</v>
      </c>
      <c r="F208" s="439" t="s">
        <v>378</v>
      </c>
      <c r="G208" s="440"/>
      <c r="H208" s="440"/>
      <c r="I208" s="440"/>
      <c r="J208" s="440"/>
      <c r="K208" s="440"/>
      <c r="L208" s="440"/>
      <c r="M208" s="441"/>
      <c r="N208" s="154" t="s">
        <v>366</v>
      </c>
      <c r="O208" s="154">
        <v>16</v>
      </c>
      <c r="P208" s="424"/>
      <c r="Q208" s="425"/>
      <c r="R208" s="3" t="str">
        <f t="shared" si="15"/>
        <v>ОПУ совмещенный с КРУЭ. Силовая сеть</v>
      </c>
      <c r="S208" s="3" t="s">
        <v>50</v>
      </c>
    </row>
    <row r="209" spans="1:19" ht="22.5" customHeight="1" x14ac:dyDescent="0.25">
      <c r="A209" s="82" t="s">
        <v>11</v>
      </c>
      <c r="B209" s="435"/>
      <c r="C209" s="152" t="s">
        <v>315</v>
      </c>
      <c r="D209" s="153" t="s">
        <v>59</v>
      </c>
      <c r="E209" s="153" t="s">
        <v>244</v>
      </c>
      <c r="F209" s="439" t="s">
        <v>378</v>
      </c>
      <c r="G209" s="440"/>
      <c r="H209" s="440"/>
      <c r="I209" s="440"/>
      <c r="J209" s="440"/>
      <c r="K209" s="440"/>
      <c r="L209" s="440"/>
      <c r="M209" s="441"/>
      <c r="N209" s="154" t="s">
        <v>367</v>
      </c>
      <c r="O209" s="154">
        <v>48</v>
      </c>
      <c r="P209" s="424"/>
      <c r="Q209" s="425"/>
      <c r="R209" s="3" t="str">
        <f t="shared" si="15"/>
        <v>ОПУ совмещенный с КРУЭ. Силовая сеть</v>
      </c>
      <c r="S209" s="3" t="s">
        <v>50</v>
      </c>
    </row>
    <row r="210" spans="1:19" ht="22.5" customHeight="1" x14ac:dyDescent="0.25">
      <c r="A210" s="82" t="s">
        <v>11</v>
      </c>
      <c r="B210" s="435"/>
      <c r="C210" s="152"/>
      <c r="D210" s="153"/>
      <c r="E210" s="153"/>
      <c r="F210" s="439"/>
      <c r="G210" s="440"/>
      <c r="H210" s="440"/>
      <c r="I210" s="440"/>
      <c r="J210" s="440"/>
      <c r="K210" s="440"/>
      <c r="L210" s="440"/>
      <c r="M210" s="441"/>
      <c r="N210" s="154"/>
      <c r="O210" s="154"/>
      <c r="P210" s="424"/>
      <c r="Q210" s="425"/>
      <c r="R210" s="3" t="str">
        <f t="shared" si="15"/>
        <v>ОПУ совмещенный с КРУЭ. Силовая сеть</v>
      </c>
      <c r="S210" s="3" t="s">
        <v>50</v>
      </c>
    </row>
    <row r="211" spans="1:19" ht="22.5" customHeight="1" x14ac:dyDescent="0.25">
      <c r="A211" s="82" t="s">
        <v>11</v>
      </c>
      <c r="B211" s="435"/>
      <c r="C211" s="152"/>
      <c r="D211" s="153"/>
      <c r="E211" s="153"/>
      <c r="F211" s="423"/>
      <c r="G211" s="423"/>
      <c r="H211" s="423"/>
      <c r="I211" s="423"/>
      <c r="J211" s="423"/>
      <c r="K211" s="423"/>
      <c r="L211" s="423"/>
      <c r="M211" s="423"/>
      <c r="N211" s="154"/>
      <c r="O211" s="154"/>
      <c r="P211" s="424"/>
      <c r="Q211" s="425"/>
      <c r="R211" s="3" t="str">
        <f t="shared" si="15"/>
        <v>ОПУ совмещенный с КРУЭ. Силовая сеть</v>
      </c>
      <c r="S211" s="3" t="s">
        <v>50</v>
      </c>
    </row>
    <row r="212" spans="1:19" ht="22.5" customHeight="1" x14ac:dyDescent="0.25">
      <c r="A212" s="82" t="s">
        <v>11</v>
      </c>
      <c r="B212" s="435"/>
      <c r="C212" s="152"/>
      <c r="D212" s="153"/>
      <c r="E212" s="153"/>
      <c r="F212" s="423"/>
      <c r="G212" s="423"/>
      <c r="H212" s="423"/>
      <c r="I212" s="423"/>
      <c r="J212" s="423"/>
      <c r="K212" s="423"/>
      <c r="L212" s="423"/>
      <c r="M212" s="423"/>
      <c r="N212" s="154"/>
      <c r="O212" s="154"/>
      <c r="P212" s="424"/>
      <c r="Q212" s="425"/>
      <c r="R212" s="3" t="str">
        <f t="shared" si="15"/>
        <v>ОПУ совмещенный с КРУЭ. Силовая сеть</v>
      </c>
      <c r="S212" s="3" t="s">
        <v>50</v>
      </c>
    </row>
    <row r="213" spans="1:19" ht="22.5" customHeight="1" x14ac:dyDescent="0.25">
      <c r="A213" s="82" t="s">
        <v>11</v>
      </c>
      <c r="B213" s="435"/>
      <c r="C213" s="152"/>
      <c r="D213" s="153"/>
      <c r="E213" s="153"/>
      <c r="F213" s="423"/>
      <c r="G213" s="423"/>
      <c r="H213" s="423"/>
      <c r="I213" s="423"/>
      <c r="J213" s="423"/>
      <c r="K213" s="423"/>
      <c r="L213" s="423"/>
      <c r="M213" s="423"/>
      <c r="N213" s="154"/>
      <c r="O213" s="154"/>
      <c r="P213" s="424"/>
      <c r="Q213" s="425"/>
      <c r="R213" s="3" t="str">
        <f t="shared" si="15"/>
        <v>ОПУ совмещенный с КРУЭ. Силовая сеть</v>
      </c>
      <c r="S213" s="3" t="s">
        <v>50</v>
      </c>
    </row>
    <row r="214" spans="1:19" ht="22.5" customHeight="1" x14ac:dyDescent="0.25">
      <c r="A214" s="82" t="s">
        <v>11</v>
      </c>
      <c r="B214" s="435"/>
      <c r="C214" s="152"/>
      <c r="D214" s="153"/>
      <c r="E214" s="153"/>
      <c r="F214" s="423"/>
      <c r="G214" s="423"/>
      <c r="H214" s="423"/>
      <c r="I214" s="423"/>
      <c r="J214" s="423"/>
      <c r="K214" s="423"/>
      <c r="L214" s="423"/>
      <c r="M214" s="423"/>
      <c r="N214" s="154"/>
      <c r="O214" s="154"/>
      <c r="P214" s="424"/>
      <c r="Q214" s="425"/>
      <c r="R214" s="3" t="str">
        <f t="shared" si="15"/>
        <v>ОПУ совмещенный с КРУЭ. Силовая сеть</v>
      </c>
      <c r="S214" s="3" t="s">
        <v>50</v>
      </c>
    </row>
    <row r="215" spans="1:19" ht="22.5" customHeight="1" thickBot="1" x14ac:dyDescent="0.3">
      <c r="A215" s="82" t="s">
        <v>11</v>
      </c>
      <c r="B215" s="435"/>
      <c r="C215" s="155"/>
      <c r="D215" s="156"/>
      <c r="E215" s="156"/>
      <c r="F215" s="426"/>
      <c r="G215" s="426"/>
      <c r="H215" s="426"/>
      <c r="I215" s="426"/>
      <c r="J215" s="426"/>
      <c r="K215" s="426"/>
      <c r="L215" s="426"/>
      <c r="M215" s="426"/>
      <c r="N215" s="157"/>
      <c r="O215" s="157"/>
      <c r="P215" s="427"/>
      <c r="Q215" s="428"/>
      <c r="R215" s="3" t="str">
        <f t="shared" si="15"/>
        <v>ОПУ совмещенный с КРУЭ. Силовая сеть</v>
      </c>
      <c r="S215" s="3" t="s">
        <v>50</v>
      </c>
    </row>
    <row r="216" spans="1:19" ht="13.5" customHeight="1" thickBot="1" x14ac:dyDescent="0.3">
      <c r="B216" s="29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139"/>
      <c r="P216" s="30"/>
      <c r="Q216" s="31"/>
      <c r="S216" s="3" t="s">
        <v>50</v>
      </c>
    </row>
    <row r="217" spans="1:19" s="4" customFormat="1" ht="13.5" customHeight="1" thickBot="1" x14ac:dyDescent="0.3">
      <c r="B217" s="140"/>
      <c r="C217" s="141"/>
      <c r="D217" s="141"/>
      <c r="E217" s="141"/>
      <c r="F217" s="141"/>
      <c r="G217" s="146"/>
      <c r="H217" s="146"/>
      <c r="I217" s="146"/>
      <c r="J217" s="146"/>
      <c r="K217" s="146"/>
      <c r="L217" s="146"/>
      <c r="M217" s="429" t="str">
        <f>Содержание!$AJ$29</f>
        <v>29-КМЧ-2015-027-ЭП.С</v>
      </c>
      <c r="N217" s="429"/>
      <c r="O217" s="429"/>
      <c r="P217" s="429"/>
      <c r="Q217" s="145" t="s">
        <v>18</v>
      </c>
      <c r="S217" s="3" t="s">
        <v>50</v>
      </c>
    </row>
    <row r="218" spans="1:19" s="4" customFormat="1" ht="13.5" customHeight="1" x14ac:dyDescent="0.25">
      <c r="B218" s="140"/>
      <c r="C218" s="141"/>
      <c r="D218" s="141"/>
      <c r="E218" s="141"/>
      <c r="F218" s="141"/>
      <c r="G218" s="147"/>
      <c r="H218" s="147"/>
      <c r="I218" s="147"/>
      <c r="J218" s="147"/>
      <c r="K218" s="147"/>
      <c r="L218" s="147"/>
      <c r="M218" s="430"/>
      <c r="N218" s="430"/>
      <c r="O218" s="430"/>
      <c r="P218" s="430"/>
      <c r="Q218" s="432">
        <f t="shared" ref="Q218" si="16">Q194+1</f>
        <v>11</v>
      </c>
      <c r="S218" s="3" t="s">
        <v>50</v>
      </c>
    </row>
    <row r="219" spans="1:19" s="4" customFormat="1" ht="13.5" customHeight="1" thickBot="1" x14ac:dyDescent="0.3">
      <c r="B219" s="137"/>
      <c r="C219" s="138"/>
      <c r="D219" s="138"/>
      <c r="E219" s="138"/>
      <c r="F219" s="138"/>
      <c r="G219" s="148" t="s">
        <v>25</v>
      </c>
      <c r="H219" s="158" t="s">
        <v>24</v>
      </c>
      <c r="I219" s="148" t="s">
        <v>18</v>
      </c>
      <c r="J219" s="148" t="s">
        <v>23</v>
      </c>
      <c r="K219" s="148" t="s">
        <v>22</v>
      </c>
      <c r="L219" s="148" t="s">
        <v>21</v>
      </c>
      <c r="M219" s="431"/>
      <c r="N219" s="431"/>
      <c r="O219" s="431"/>
      <c r="P219" s="431"/>
      <c r="Q219" s="433"/>
      <c r="S219" s="3" t="s">
        <v>50</v>
      </c>
    </row>
    <row r="220" spans="1:19" ht="22.5" customHeight="1" x14ac:dyDescent="0.25">
      <c r="A220" s="82" t="s">
        <v>11</v>
      </c>
      <c r="B220" s="434" t="str">
        <f>Содержание!$G$13</f>
        <v>ОПУ совмещенный с КРУЭ. Силовая сеть</v>
      </c>
      <c r="C220" s="149" t="s">
        <v>316</v>
      </c>
      <c r="D220" s="150" t="s">
        <v>59</v>
      </c>
      <c r="E220" s="150" t="s">
        <v>215</v>
      </c>
      <c r="F220" s="436" t="s">
        <v>266</v>
      </c>
      <c r="G220" s="436"/>
      <c r="H220" s="436"/>
      <c r="I220" s="436"/>
      <c r="J220" s="436"/>
      <c r="K220" s="436"/>
      <c r="L220" s="436"/>
      <c r="M220" s="436"/>
      <c r="N220" s="151" t="s">
        <v>380</v>
      </c>
      <c r="O220" s="151">
        <v>44</v>
      </c>
      <c r="P220" s="437"/>
      <c r="Q220" s="438"/>
      <c r="R220" s="3" t="str">
        <f>B220</f>
        <v>ОПУ совмещенный с КРУЭ. Силовая сеть</v>
      </c>
      <c r="S220" s="3" t="s">
        <v>50</v>
      </c>
    </row>
    <row r="221" spans="1:19" ht="22.5" customHeight="1" x14ac:dyDescent="0.25">
      <c r="A221" s="82" t="s">
        <v>11</v>
      </c>
      <c r="B221" s="435"/>
      <c r="C221" s="152" t="s">
        <v>317</v>
      </c>
      <c r="D221" s="153" t="s">
        <v>59</v>
      </c>
      <c r="E221" s="153" t="s">
        <v>215</v>
      </c>
      <c r="F221" s="439" t="s">
        <v>380</v>
      </c>
      <c r="G221" s="440"/>
      <c r="H221" s="440"/>
      <c r="I221" s="440"/>
      <c r="J221" s="440"/>
      <c r="K221" s="440"/>
      <c r="L221" s="440"/>
      <c r="M221" s="441"/>
      <c r="N221" s="154" t="s">
        <v>381</v>
      </c>
      <c r="O221" s="154">
        <v>8</v>
      </c>
      <c r="P221" s="424"/>
      <c r="Q221" s="425"/>
      <c r="R221" s="3" t="str">
        <f>R220</f>
        <v>ОПУ совмещенный с КРУЭ. Силовая сеть</v>
      </c>
      <c r="S221" s="3" t="s">
        <v>50</v>
      </c>
    </row>
    <row r="222" spans="1:19" ht="22.5" customHeight="1" x14ac:dyDescent="0.25">
      <c r="A222" s="82" t="s">
        <v>11</v>
      </c>
      <c r="B222" s="435"/>
      <c r="C222" s="152" t="s">
        <v>318</v>
      </c>
      <c r="D222" s="153" t="s">
        <v>59</v>
      </c>
      <c r="E222" s="153" t="s">
        <v>215</v>
      </c>
      <c r="F222" s="439" t="s">
        <v>381</v>
      </c>
      <c r="G222" s="440"/>
      <c r="H222" s="440"/>
      <c r="I222" s="440"/>
      <c r="J222" s="440"/>
      <c r="K222" s="440"/>
      <c r="L222" s="440"/>
      <c r="M222" s="441"/>
      <c r="N222" s="154" t="s">
        <v>382</v>
      </c>
      <c r="O222" s="154">
        <v>8</v>
      </c>
      <c r="P222" s="424"/>
      <c r="Q222" s="425"/>
      <c r="R222" s="3" t="str">
        <f t="shared" ref="R222:R239" si="17">R221</f>
        <v>ОПУ совмещенный с КРУЭ. Силовая сеть</v>
      </c>
      <c r="S222" s="3" t="s">
        <v>50</v>
      </c>
    </row>
    <row r="223" spans="1:19" ht="22.5" customHeight="1" x14ac:dyDescent="0.25">
      <c r="A223" s="82" t="s">
        <v>11</v>
      </c>
      <c r="B223" s="435"/>
      <c r="C223" s="152" t="s">
        <v>319</v>
      </c>
      <c r="D223" s="153" t="s">
        <v>59</v>
      </c>
      <c r="E223" s="153" t="s">
        <v>215</v>
      </c>
      <c r="F223" s="439" t="s">
        <v>382</v>
      </c>
      <c r="G223" s="440"/>
      <c r="H223" s="440"/>
      <c r="I223" s="440"/>
      <c r="J223" s="440"/>
      <c r="K223" s="440"/>
      <c r="L223" s="440"/>
      <c r="M223" s="441"/>
      <c r="N223" s="154" t="s">
        <v>383</v>
      </c>
      <c r="O223" s="154">
        <v>8</v>
      </c>
      <c r="P223" s="424"/>
      <c r="Q223" s="425"/>
      <c r="R223" s="3" t="str">
        <f t="shared" si="17"/>
        <v>ОПУ совмещенный с КРУЭ. Силовая сеть</v>
      </c>
      <c r="S223" s="3" t="s">
        <v>50</v>
      </c>
    </row>
    <row r="224" spans="1:19" ht="22.5" customHeight="1" x14ac:dyDescent="0.25">
      <c r="A224" s="82" t="s">
        <v>11</v>
      </c>
      <c r="B224" s="435"/>
      <c r="C224" s="152" t="s">
        <v>320</v>
      </c>
      <c r="D224" s="153" t="s">
        <v>59</v>
      </c>
      <c r="E224" s="153" t="s">
        <v>215</v>
      </c>
      <c r="F224" s="439" t="s">
        <v>383</v>
      </c>
      <c r="G224" s="440"/>
      <c r="H224" s="440"/>
      <c r="I224" s="440"/>
      <c r="J224" s="440"/>
      <c r="K224" s="440"/>
      <c r="L224" s="440"/>
      <c r="M224" s="441"/>
      <c r="N224" s="154" t="s">
        <v>384</v>
      </c>
      <c r="O224" s="154">
        <v>8</v>
      </c>
      <c r="P224" s="424"/>
      <c r="Q224" s="425"/>
      <c r="R224" s="3" t="str">
        <f t="shared" si="17"/>
        <v>ОПУ совмещенный с КРУЭ. Силовая сеть</v>
      </c>
      <c r="S224" s="3" t="s">
        <v>50</v>
      </c>
    </row>
    <row r="225" spans="1:19" ht="22.5" customHeight="1" x14ac:dyDescent="0.25">
      <c r="A225" s="82" t="s">
        <v>11</v>
      </c>
      <c r="B225" s="435"/>
      <c r="C225" s="152" t="s">
        <v>321</v>
      </c>
      <c r="D225" s="153" t="s">
        <v>59</v>
      </c>
      <c r="E225" s="153" t="s">
        <v>215</v>
      </c>
      <c r="F225" s="439" t="s">
        <v>384</v>
      </c>
      <c r="G225" s="440"/>
      <c r="H225" s="440"/>
      <c r="I225" s="440"/>
      <c r="J225" s="440"/>
      <c r="K225" s="440"/>
      <c r="L225" s="440"/>
      <c r="M225" s="441"/>
      <c r="N225" s="154" t="s">
        <v>385</v>
      </c>
      <c r="O225" s="154">
        <v>11</v>
      </c>
      <c r="P225" s="424"/>
      <c r="Q225" s="425"/>
      <c r="R225" s="3" t="str">
        <f t="shared" si="17"/>
        <v>ОПУ совмещенный с КРУЭ. Силовая сеть</v>
      </c>
      <c r="S225" s="3" t="s">
        <v>50</v>
      </c>
    </row>
    <row r="226" spans="1:19" ht="22.5" customHeight="1" x14ac:dyDescent="0.25">
      <c r="A226" s="82" t="s">
        <v>11</v>
      </c>
      <c r="B226" s="435"/>
      <c r="C226" s="152" t="s">
        <v>322</v>
      </c>
      <c r="D226" s="153" t="s">
        <v>59</v>
      </c>
      <c r="E226" s="153" t="s">
        <v>215</v>
      </c>
      <c r="F226" s="439" t="s">
        <v>385</v>
      </c>
      <c r="G226" s="440"/>
      <c r="H226" s="440"/>
      <c r="I226" s="440"/>
      <c r="J226" s="440"/>
      <c r="K226" s="440"/>
      <c r="L226" s="440"/>
      <c r="M226" s="441"/>
      <c r="N226" s="154" t="s">
        <v>386</v>
      </c>
      <c r="O226" s="154">
        <v>8</v>
      </c>
      <c r="P226" s="424"/>
      <c r="Q226" s="425"/>
      <c r="R226" s="3" t="str">
        <f t="shared" si="17"/>
        <v>ОПУ совмещенный с КРУЭ. Силовая сеть</v>
      </c>
      <c r="S226" s="3" t="s">
        <v>50</v>
      </c>
    </row>
    <row r="227" spans="1:19" ht="22.5" customHeight="1" x14ac:dyDescent="0.25">
      <c r="A227" s="82" t="s">
        <v>11</v>
      </c>
      <c r="B227" s="435"/>
      <c r="C227" s="152" t="s">
        <v>323</v>
      </c>
      <c r="D227" s="153" t="s">
        <v>59</v>
      </c>
      <c r="E227" s="153" t="s">
        <v>215</v>
      </c>
      <c r="F227" s="439" t="s">
        <v>386</v>
      </c>
      <c r="G227" s="440"/>
      <c r="H227" s="440"/>
      <c r="I227" s="440"/>
      <c r="J227" s="440"/>
      <c r="K227" s="440"/>
      <c r="L227" s="440"/>
      <c r="M227" s="441"/>
      <c r="N227" s="154" t="s">
        <v>387</v>
      </c>
      <c r="O227" s="154">
        <v>8</v>
      </c>
      <c r="P227" s="424"/>
      <c r="Q227" s="425"/>
      <c r="R227" s="3" t="str">
        <f t="shared" si="17"/>
        <v>ОПУ совмещенный с КРУЭ. Силовая сеть</v>
      </c>
      <c r="S227" s="3" t="s">
        <v>50</v>
      </c>
    </row>
    <row r="228" spans="1:19" ht="22.5" customHeight="1" x14ac:dyDescent="0.25">
      <c r="A228" s="82" t="s">
        <v>11</v>
      </c>
      <c r="B228" s="435"/>
      <c r="C228" s="152" t="s">
        <v>324</v>
      </c>
      <c r="D228" s="153" t="s">
        <v>59</v>
      </c>
      <c r="E228" s="153" t="s">
        <v>215</v>
      </c>
      <c r="F228" s="439" t="s">
        <v>387</v>
      </c>
      <c r="G228" s="440"/>
      <c r="H228" s="440"/>
      <c r="I228" s="440"/>
      <c r="J228" s="440"/>
      <c r="K228" s="440"/>
      <c r="L228" s="440"/>
      <c r="M228" s="441"/>
      <c r="N228" s="154" t="s">
        <v>388</v>
      </c>
      <c r="O228" s="154">
        <v>12</v>
      </c>
      <c r="P228" s="424"/>
      <c r="Q228" s="425"/>
      <c r="R228" s="3" t="str">
        <f t="shared" si="17"/>
        <v>ОПУ совмещенный с КРУЭ. Силовая сеть</v>
      </c>
      <c r="S228" s="3" t="s">
        <v>50</v>
      </c>
    </row>
    <row r="229" spans="1:19" ht="22.5" customHeight="1" x14ac:dyDescent="0.25">
      <c r="A229" s="82" t="s">
        <v>11</v>
      </c>
      <c r="B229" s="435"/>
      <c r="C229" s="152" t="s">
        <v>325</v>
      </c>
      <c r="D229" s="153" t="s">
        <v>59</v>
      </c>
      <c r="E229" s="153" t="s">
        <v>215</v>
      </c>
      <c r="F229" s="439" t="s">
        <v>388</v>
      </c>
      <c r="G229" s="440"/>
      <c r="H229" s="440"/>
      <c r="I229" s="440"/>
      <c r="J229" s="440"/>
      <c r="K229" s="440"/>
      <c r="L229" s="440"/>
      <c r="M229" s="441"/>
      <c r="N229" s="154" t="s">
        <v>389</v>
      </c>
      <c r="O229" s="154">
        <v>8</v>
      </c>
      <c r="P229" s="424"/>
      <c r="Q229" s="425"/>
      <c r="R229" s="3" t="str">
        <f t="shared" si="17"/>
        <v>ОПУ совмещенный с КРУЭ. Силовая сеть</v>
      </c>
      <c r="S229" s="3" t="s">
        <v>50</v>
      </c>
    </row>
    <row r="230" spans="1:19" ht="22.5" customHeight="1" x14ac:dyDescent="0.25">
      <c r="A230" s="82" t="s">
        <v>11</v>
      </c>
      <c r="B230" s="435"/>
      <c r="C230" s="152" t="s">
        <v>326</v>
      </c>
      <c r="D230" s="153" t="s">
        <v>59</v>
      </c>
      <c r="E230" s="153" t="s">
        <v>215</v>
      </c>
      <c r="F230" s="439" t="s">
        <v>268</v>
      </c>
      <c r="G230" s="440"/>
      <c r="H230" s="440"/>
      <c r="I230" s="440"/>
      <c r="J230" s="440"/>
      <c r="K230" s="440"/>
      <c r="L230" s="440"/>
      <c r="M230" s="441"/>
      <c r="N230" s="154" t="s">
        <v>389</v>
      </c>
      <c r="O230" s="154">
        <v>68</v>
      </c>
      <c r="P230" s="424"/>
      <c r="Q230" s="425"/>
      <c r="R230" s="3" t="str">
        <f t="shared" si="17"/>
        <v>ОПУ совмещенный с КРУЭ. Силовая сеть</v>
      </c>
      <c r="S230" s="3" t="s">
        <v>50</v>
      </c>
    </row>
    <row r="231" spans="1:19" ht="22.5" customHeight="1" x14ac:dyDescent="0.25">
      <c r="A231" s="82" t="s">
        <v>11</v>
      </c>
      <c r="B231" s="435"/>
      <c r="C231" s="152" t="s">
        <v>327</v>
      </c>
      <c r="D231" s="153" t="s">
        <v>59</v>
      </c>
      <c r="E231" s="153" t="s">
        <v>200</v>
      </c>
      <c r="F231" s="439" t="s">
        <v>69</v>
      </c>
      <c r="G231" s="440"/>
      <c r="H231" s="440"/>
      <c r="I231" s="440"/>
      <c r="J231" s="440"/>
      <c r="K231" s="440"/>
      <c r="L231" s="440"/>
      <c r="M231" s="441"/>
      <c r="N231" s="154" t="s">
        <v>390</v>
      </c>
      <c r="O231" s="154">
        <v>90</v>
      </c>
      <c r="P231" s="424"/>
      <c r="Q231" s="425"/>
      <c r="R231" s="3" t="str">
        <f t="shared" si="17"/>
        <v>ОПУ совмещенный с КРУЭ. Силовая сеть</v>
      </c>
      <c r="S231" s="3" t="s">
        <v>50</v>
      </c>
    </row>
    <row r="232" spans="1:19" ht="22.5" customHeight="1" x14ac:dyDescent="0.25">
      <c r="A232" s="82" t="s">
        <v>11</v>
      </c>
      <c r="B232" s="435"/>
      <c r="C232" s="152" t="s">
        <v>328</v>
      </c>
      <c r="D232" s="153" t="s">
        <v>59</v>
      </c>
      <c r="E232" s="153" t="s">
        <v>245</v>
      </c>
      <c r="F232" s="439" t="s">
        <v>390</v>
      </c>
      <c r="G232" s="440"/>
      <c r="H232" s="440"/>
      <c r="I232" s="440"/>
      <c r="J232" s="440"/>
      <c r="K232" s="440"/>
      <c r="L232" s="440"/>
      <c r="M232" s="441"/>
      <c r="N232" s="154" t="s">
        <v>368</v>
      </c>
      <c r="O232" s="154">
        <v>14</v>
      </c>
      <c r="P232" s="424"/>
      <c r="Q232" s="425"/>
      <c r="R232" s="3" t="str">
        <f t="shared" si="17"/>
        <v>ОПУ совмещенный с КРУЭ. Силовая сеть</v>
      </c>
      <c r="S232" s="3" t="s">
        <v>50</v>
      </c>
    </row>
    <row r="233" spans="1:19" ht="22.5" customHeight="1" x14ac:dyDescent="0.25">
      <c r="A233" s="82" t="s">
        <v>11</v>
      </c>
      <c r="B233" s="435"/>
      <c r="C233" s="152" t="s">
        <v>329</v>
      </c>
      <c r="D233" s="153" t="s">
        <v>59</v>
      </c>
      <c r="E233" s="153" t="s">
        <v>245</v>
      </c>
      <c r="F233" s="439" t="s">
        <v>390</v>
      </c>
      <c r="G233" s="440"/>
      <c r="H233" s="440"/>
      <c r="I233" s="440"/>
      <c r="J233" s="440"/>
      <c r="K233" s="440"/>
      <c r="L233" s="440"/>
      <c r="M233" s="441"/>
      <c r="N233" s="154" t="s">
        <v>369</v>
      </c>
      <c r="O233" s="154">
        <v>35</v>
      </c>
      <c r="P233" s="424"/>
      <c r="Q233" s="425"/>
      <c r="R233" s="3" t="str">
        <f t="shared" si="17"/>
        <v>ОПУ совмещенный с КРУЭ. Силовая сеть</v>
      </c>
      <c r="S233" s="3" t="s">
        <v>50</v>
      </c>
    </row>
    <row r="234" spans="1:19" ht="22.5" customHeight="1" x14ac:dyDescent="0.25">
      <c r="A234" s="82" t="s">
        <v>11</v>
      </c>
      <c r="B234" s="435"/>
      <c r="C234" s="152" t="s">
        <v>330</v>
      </c>
      <c r="D234" s="153" t="s">
        <v>59</v>
      </c>
      <c r="E234" s="153" t="s">
        <v>244</v>
      </c>
      <c r="F234" s="439" t="s">
        <v>390</v>
      </c>
      <c r="G234" s="440"/>
      <c r="H234" s="440"/>
      <c r="I234" s="440"/>
      <c r="J234" s="440"/>
      <c r="K234" s="440"/>
      <c r="L234" s="440"/>
      <c r="M234" s="441"/>
      <c r="N234" s="154" t="s">
        <v>370</v>
      </c>
      <c r="O234" s="154">
        <v>14</v>
      </c>
      <c r="P234" s="424"/>
      <c r="Q234" s="425"/>
      <c r="R234" s="3" t="str">
        <f t="shared" si="17"/>
        <v>ОПУ совмещенный с КРУЭ. Силовая сеть</v>
      </c>
      <c r="S234" s="3" t="s">
        <v>50</v>
      </c>
    </row>
    <row r="235" spans="1:19" ht="22.5" customHeight="1" x14ac:dyDescent="0.25">
      <c r="A235" s="82" t="s">
        <v>11</v>
      </c>
      <c r="B235" s="435"/>
      <c r="C235" s="152" t="s">
        <v>331</v>
      </c>
      <c r="D235" s="153" t="s">
        <v>59</v>
      </c>
      <c r="E235" s="153" t="s">
        <v>244</v>
      </c>
      <c r="F235" s="439" t="s">
        <v>390</v>
      </c>
      <c r="G235" s="440"/>
      <c r="H235" s="440"/>
      <c r="I235" s="440"/>
      <c r="J235" s="440"/>
      <c r="K235" s="440"/>
      <c r="L235" s="440"/>
      <c r="M235" s="441"/>
      <c r="N235" s="154" t="s">
        <v>371</v>
      </c>
      <c r="O235" s="154">
        <v>35</v>
      </c>
      <c r="P235" s="424"/>
      <c r="Q235" s="425"/>
      <c r="R235" s="3" t="str">
        <f t="shared" si="17"/>
        <v>ОПУ совмещенный с КРУЭ. Силовая сеть</v>
      </c>
      <c r="S235" s="3" t="s">
        <v>50</v>
      </c>
    </row>
    <row r="236" spans="1:19" ht="22.5" customHeight="1" x14ac:dyDescent="0.25">
      <c r="A236" s="82" t="s">
        <v>11</v>
      </c>
      <c r="B236" s="435"/>
      <c r="C236" s="152"/>
      <c r="D236" s="153"/>
      <c r="E236" s="153"/>
      <c r="F236" s="439"/>
      <c r="G236" s="440"/>
      <c r="H236" s="440"/>
      <c r="I236" s="440"/>
      <c r="J236" s="440"/>
      <c r="K236" s="440"/>
      <c r="L236" s="440"/>
      <c r="M236" s="441"/>
      <c r="N236" s="154"/>
      <c r="O236" s="154"/>
      <c r="P236" s="424"/>
      <c r="Q236" s="425"/>
      <c r="R236" s="3" t="str">
        <f t="shared" si="17"/>
        <v>ОПУ совмещенный с КРУЭ. Силовая сеть</v>
      </c>
      <c r="S236" s="3" t="s">
        <v>50</v>
      </c>
    </row>
    <row r="237" spans="1:19" ht="22.5" customHeight="1" x14ac:dyDescent="0.25">
      <c r="A237" s="82" t="s">
        <v>11</v>
      </c>
      <c r="B237" s="435"/>
      <c r="C237" s="152"/>
      <c r="D237" s="153"/>
      <c r="E237" s="153"/>
      <c r="F237" s="423"/>
      <c r="G237" s="423"/>
      <c r="H237" s="423"/>
      <c r="I237" s="423"/>
      <c r="J237" s="423"/>
      <c r="K237" s="423"/>
      <c r="L237" s="423"/>
      <c r="M237" s="423"/>
      <c r="N237" s="154"/>
      <c r="O237" s="154"/>
      <c r="P237" s="424"/>
      <c r="Q237" s="425"/>
      <c r="R237" s="3" t="str">
        <f t="shared" si="17"/>
        <v>ОПУ совмещенный с КРУЭ. Силовая сеть</v>
      </c>
      <c r="S237" s="3" t="s">
        <v>50</v>
      </c>
    </row>
    <row r="238" spans="1:19" ht="22.5" customHeight="1" x14ac:dyDescent="0.25">
      <c r="A238" s="82" t="s">
        <v>11</v>
      </c>
      <c r="B238" s="435"/>
      <c r="C238" s="152"/>
      <c r="D238" s="153"/>
      <c r="E238" s="153"/>
      <c r="F238" s="423"/>
      <c r="G238" s="423"/>
      <c r="H238" s="423"/>
      <c r="I238" s="423"/>
      <c r="J238" s="423"/>
      <c r="K238" s="423"/>
      <c r="L238" s="423"/>
      <c r="M238" s="423"/>
      <c r="N238" s="154"/>
      <c r="O238" s="154"/>
      <c r="P238" s="424"/>
      <c r="Q238" s="425"/>
      <c r="R238" s="3" t="str">
        <f t="shared" si="17"/>
        <v>ОПУ совмещенный с КРУЭ. Силовая сеть</v>
      </c>
      <c r="S238" s="3" t="s">
        <v>50</v>
      </c>
    </row>
    <row r="239" spans="1:19" ht="22.5" customHeight="1" thickBot="1" x14ac:dyDescent="0.3">
      <c r="A239" s="82" t="s">
        <v>11</v>
      </c>
      <c r="B239" s="435"/>
      <c r="C239" s="155"/>
      <c r="D239" s="156"/>
      <c r="E239" s="156"/>
      <c r="F239" s="426"/>
      <c r="G239" s="426"/>
      <c r="H239" s="426"/>
      <c r="I239" s="426"/>
      <c r="J239" s="426"/>
      <c r="K239" s="426"/>
      <c r="L239" s="426"/>
      <c r="M239" s="426"/>
      <c r="N239" s="157"/>
      <c r="O239" s="157"/>
      <c r="P239" s="427"/>
      <c r="Q239" s="428"/>
      <c r="R239" s="3" t="str">
        <f t="shared" si="17"/>
        <v>ОПУ совмещенный с КРУЭ. Силовая сеть</v>
      </c>
      <c r="S239" s="3" t="s">
        <v>50</v>
      </c>
    </row>
    <row r="240" spans="1:19" ht="13.5" customHeight="1" thickBot="1" x14ac:dyDescent="0.3">
      <c r="B240" s="29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139"/>
      <c r="P240" s="30"/>
      <c r="Q240" s="31"/>
      <c r="S240" s="3" t="s">
        <v>50</v>
      </c>
    </row>
    <row r="241" spans="1:19" s="4" customFormat="1" ht="13.5" customHeight="1" thickBot="1" x14ac:dyDescent="0.3">
      <c r="B241" s="140"/>
      <c r="C241" s="141"/>
      <c r="D241" s="141"/>
      <c r="E241" s="141"/>
      <c r="F241" s="141"/>
      <c r="G241" s="146"/>
      <c r="H241" s="146"/>
      <c r="I241" s="146"/>
      <c r="J241" s="146"/>
      <c r="K241" s="146"/>
      <c r="L241" s="146"/>
      <c r="M241" s="429" t="str">
        <f>Содержание!$AJ$29</f>
        <v>29-КМЧ-2015-027-ЭП.С</v>
      </c>
      <c r="N241" s="429"/>
      <c r="O241" s="429"/>
      <c r="P241" s="429"/>
      <c r="Q241" s="145" t="s">
        <v>18</v>
      </c>
      <c r="S241" s="3" t="s">
        <v>50</v>
      </c>
    </row>
    <row r="242" spans="1:19" s="4" customFormat="1" ht="13.5" customHeight="1" x14ac:dyDescent="0.25">
      <c r="B242" s="140"/>
      <c r="C242" s="141"/>
      <c r="D242" s="141"/>
      <c r="E242" s="141"/>
      <c r="F242" s="141"/>
      <c r="G242" s="147"/>
      <c r="H242" s="147"/>
      <c r="I242" s="147"/>
      <c r="J242" s="147"/>
      <c r="K242" s="147"/>
      <c r="L242" s="147"/>
      <c r="M242" s="430"/>
      <c r="N242" s="430"/>
      <c r="O242" s="430"/>
      <c r="P242" s="430"/>
      <c r="Q242" s="432">
        <f t="shared" ref="Q242" si="18">Q218+1</f>
        <v>12</v>
      </c>
      <c r="S242" s="3" t="s">
        <v>50</v>
      </c>
    </row>
    <row r="243" spans="1:19" s="4" customFormat="1" ht="13.5" customHeight="1" thickBot="1" x14ac:dyDescent="0.3">
      <c r="B243" s="137"/>
      <c r="C243" s="138"/>
      <c r="D243" s="138"/>
      <c r="E243" s="138"/>
      <c r="F243" s="138"/>
      <c r="G243" s="148" t="s">
        <v>25</v>
      </c>
      <c r="H243" s="158" t="s">
        <v>24</v>
      </c>
      <c r="I243" s="148" t="s">
        <v>18</v>
      </c>
      <c r="J243" s="148" t="s">
        <v>23</v>
      </c>
      <c r="K243" s="148" t="s">
        <v>22</v>
      </c>
      <c r="L243" s="148" t="s">
        <v>21</v>
      </c>
      <c r="M243" s="431"/>
      <c r="N243" s="431"/>
      <c r="O243" s="431"/>
      <c r="P243" s="431"/>
      <c r="Q243" s="433"/>
      <c r="S243" s="3" t="s">
        <v>50</v>
      </c>
    </row>
    <row r="244" spans="1:19" ht="22.5" customHeight="1" x14ac:dyDescent="0.25">
      <c r="A244" s="82" t="s">
        <v>11</v>
      </c>
      <c r="B244" s="434" t="str">
        <f>Содержание!$G$13</f>
        <v>ОПУ совмещенный с КРУЭ. Силовая сеть</v>
      </c>
      <c r="C244" s="149" t="s">
        <v>332</v>
      </c>
      <c r="D244" s="150" t="s">
        <v>59</v>
      </c>
      <c r="E244" s="150" t="s">
        <v>200</v>
      </c>
      <c r="F244" s="436" t="s">
        <v>70</v>
      </c>
      <c r="G244" s="436"/>
      <c r="H244" s="436"/>
      <c r="I244" s="436"/>
      <c r="J244" s="436"/>
      <c r="K244" s="436"/>
      <c r="L244" s="436"/>
      <c r="M244" s="436"/>
      <c r="N244" s="151" t="s">
        <v>391</v>
      </c>
      <c r="O244" s="151">
        <v>127</v>
      </c>
      <c r="P244" s="437"/>
      <c r="Q244" s="438"/>
      <c r="R244" s="3" t="str">
        <f>B244</f>
        <v>ОПУ совмещенный с КРУЭ. Силовая сеть</v>
      </c>
      <c r="S244" s="3" t="s">
        <v>50</v>
      </c>
    </row>
    <row r="245" spans="1:19" ht="22.5" customHeight="1" x14ac:dyDescent="0.25">
      <c r="A245" s="82" t="s">
        <v>11</v>
      </c>
      <c r="B245" s="435"/>
      <c r="C245" s="152" t="s">
        <v>333</v>
      </c>
      <c r="D245" s="153" t="s">
        <v>59</v>
      </c>
      <c r="E245" s="153" t="s">
        <v>245</v>
      </c>
      <c r="F245" s="439" t="s">
        <v>391</v>
      </c>
      <c r="G245" s="440"/>
      <c r="H245" s="440"/>
      <c r="I245" s="440"/>
      <c r="J245" s="440"/>
      <c r="K245" s="440"/>
      <c r="L245" s="440"/>
      <c r="M245" s="441"/>
      <c r="N245" s="154" t="s">
        <v>372</v>
      </c>
      <c r="O245" s="154">
        <v>16</v>
      </c>
      <c r="P245" s="424"/>
      <c r="Q245" s="425"/>
      <c r="R245" s="3" t="str">
        <f>R244</f>
        <v>ОПУ совмещенный с КРУЭ. Силовая сеть</v>
      </c>
      <c r="S245" s="3" t="s">
        <v>50</v>
      </c>
    </row>
    <row r="246" spans="1:19" ht="22.5" customHeight="1" x14ac:dyDescent="0.25">
      <c r="A246" s="82" t="s">
        <v>11</v>
      </c>
      <c r="B246" s="435"/>
      <c r="C246" s="152" t="s">
        <v>334</v>
      </c>
      <c r="D246" s="153" t="s">
        <v>59</v>
      </c>
      <c r="E246" s="153" t="s">
        <v>245</v>
      </c>
      <c r="F246" s="439" t="s">
        <v>391</v>
      </c>
      <c r="G246" s="440"/>
      <c r="H246" s="440"/>
      <c r="I246" s="440"/>
      <c r="J246" s="440"/>
      <c r="K246" s="440"/>
      <c r="L246" s="440"/>
      <c r="M246" s="441"/>
      <c r="N246" s="154" t="s">
        <v>373</v>
      </c>
      <c r="O246" s="154">
        <v>21</v>
      </c>
      <c r="P246" s="424"/>
      <c r="Q246" s="425"/>
      <c r="R246" s="3" t="str">
        <f t="shared" ref="R246:R263" si="19">R245</f>
        <v>ОПУ совмещенный с КРУЭ. Силовая сеть</v>
      </c>
      <c r="S246" s="3" t="s">
        <v>50</v>
      </c>
    </row>
    <row r="247" spans="1:19" ht="22.5" customHeight="1" x14ac:dyDescent="0.25">
      <c r="A247" s="82" t="s">
        <v>11</v>
      </c>
      <c r="B247" s="435"/>
      <c r="C247" s="152" t="s">
        <v>335</v>
      </c>
      <c r="D247" s="153" t="s">
        <v>59</v>
      </c>
      <c r="E247" s="153" t="s">
        <v>244</v>
      </c>
      <c r="F247" s="439" t="s">
        <v>391</v>
      </c>
      <c r="G247" s="440"/>
      <c r="H247" s="440"/>
      <c r="I247" s="440"/>
      <c r="J247" s="440"/>
      <c r="K247" s="440"/>
      <c r="L247" s="440"/>
      <c r="M247" s="441"/>
      <c r="N247" s="154" t="s">
        <v>374</v>
      </c>
      <c r="O247" s="154">
        <v>16</v>
      </c>
      <c r="P247" s="424"/>
      <c r="Q247" s="425"/>
      <c r="R247" s="3" t="str">
        <f t="shared" si="19"/>
        <v>ОПУ совмещенный с КРУЭ. Силовая сеть</v>
      </c>
      <c r="S247" s="3" t="s">
        <v>50</v>
      </c>
    </row>
    <row r="248" spans="1:19" ht="22.5" customHeight="1" x14ac:dyDescent="0.25">
      <c r="A248" s="82" t="s">
        <v>11</v>
      </c>
      <c r="B248" s="435"/>
      <c r="C248" s="152" t="s">
        <v>336</v>
      </c>
      <c r="D248" s="153" t="s">
        <v>59</v>
      </c>
      <c r="E248" s="153" t="s">
        <v>244</v>
      </c>
      <c r="F248" s="439" t="s">
        <v>391</v>
      </c>
      <c r="G248" s="440"/>
      <c r="H248" s="440"/>
      <c r="I248" s="440"/>
      <c r="J248" s="440"/>
      <c r="K248" s="440"/>
      <c r="L248" s="440"/>
      <c r="M248" s="441"/>
      <c r="N248" s="154" t="s">
        <v>375</v>
      </c>
      <c r="O248" s="154">
        <v>21</v>
      </c>
      <c r="P248" s="424"/>
      <c r="Q248" s="425"/>
      <c r="R248" s="3" t="str">
        <f t="shared" si="19"/>
        <v>ОПУ совмещенный с КРУЭ. Силовая сеть</v>
      </c>
      <c r="S248" s="3" t="s">
        <v>50</v>
      </c>
    </row>
    <row r="249" spans="1:19" ht="22.5" customHeight="1" x14ac:dyDescent="0.25">
      <c r="A249" s="82" t="s">
        <v>11</v>
      </c>
      <c r="B249" s="435"/>
      <c r="C249" s="152" t="s">
        <v>337</v>
      </c>
      <c r="D249" s="153" t="s">
        <v>59</v>
      </c>
      <c r="E249" s="153" t="s">
        <v>210</v>
      </c>
      <c r="F249" s="439" t="s">
        <v>266</v>
      </c>
      <c r="G249" s="440"/>
      <c r="H249" s="440"/>
      <c r="I249" s="440"/>
      <c r="J249" s="440"/>
      <c r="K249" s="440"/>
      <c r="L249" s="440"/>
      <c r="M249" s="441"/>
      <c r="N249" s="154" t="s">
        <v>392</v>
      </c>
      <c r="O249" s="154">
        <v>25</v>
      </c>
      <c r="P249" s="424"/>
      <c r="Q249" s="425"/>
      <c r="R249" s="3" t="str">
        <f t="shared" si="19"/>
        <v>ОПУ совмещенный с КРУЭ. Силовая сеть</v>
      </c>
      <c r="S249" s="3" t="s">
        <v>50</v>
      </c>
    </row>
    <row r="250" spans="1:19" ht="22.5" customHeight="1" x14ac:dyDescent="0.25">
      <c r="A250" s="82" t="s">
        <v>11</v>
      </c>
      <c r="B250" s="435"/>
      <c r="C250" s="152" t="s">
        <v>338</v>
      </c>
      <c r="D250" s="153" t="s">
        <v>59</v>
      </c>
      <c r="E250" s="153" t="s">
        <v>210</v>
      </c>
      <c r="F250" s="439" t="s">
        <v>392</v>
      </c>
      <c r="G250" s="440"/>
      <c r="H250" s="440"/>
      <c r="I250" s="440"/>
      <c r="J250" s="440"/>
      <c r="K250" s="440"/>
      <c r="L250" s="440"/>
      <c r="M250" s="441"/>
      <c r="N250" s="154" t="s">
        <v>393</v>
      </c>
      <c r="O250" s="154">
        <v>30</v>
      </c>
      <c r="P250" s="424"/>
      <c r="Q250" s="425"/>
      <c r="R250" s="3" t="str">
        <f t="shared" si="19"/>
        <v>ОПУ совмещенный с КРУЭ. Силовая сеть</v>
      </c>
      <c r="S250" s="3" t="s">
        <v>50</v>
      </c>
    </row>
    <row r="251" spans="1:19" ht="22.5" customHeight="1" x14ac:dyDescent="0.25">
      <c r="A251" s="82" t="s">
        <v>11</v>
      </c>
      <c r="B251" s="435"/>
      <c r="C251" s="152" t="s">
        <v>339</v>
      </c>
      <c r="D251" s="153" t="s">
        <v>59</v>
      </c>
      <c r="E251" s="153" t="s">
        <v>210</v>
      </c>
      <c r="F251" s="439" t="s">
        <v>392</v>
      </c>
      <c r="G251" s="440"/>
      <c r="H251" s="440"/>
      <c r="I251" s="440"/>
      <c r="J251" s="440"/>
      <c r="K251" s="440"/>
      <c r="L251" s="440"/>
      <c r="M251" s="441"/>
      <c r="N251" s="154" t="s">
        <v>394</v>
      </c>
      <c r="O251" s="154">
        <v>50</v>
      </c>
      <c r="P251" s="424"/>
      <c r="Q251" s="425"/>
      <c r="R251" s="3" t="str">
        <f t="shared" si="19"/>
        <v>ОПУ совмещенный с КРУЭ. Силовая сеть</v>
      </c>
      <c r="S251" s="3" t="s">
        <v>50</v>
      </c>
    </row>
    <row r="252" spans="1:19" ht="22.5" customHeight="1" x14ac:dyDescent="0.25">
      <c r="A252" s="82" t="s">
        <v>11</v>
      </c>
      <c r="B252" s="435"/>
      <c r="C252" s="152" t="s">
        <v>340</v>
      </c>
      <c r="D252" s="153" t="s">
        <v>59</v>
      </c>
      <c r="E252" s="153" t="s">
        <v>210</v>
      </c>
      <c r="F252" s="439" t="s">
        <v>268</v>
      </c>
      <c r="G252" s="440"/>
      <c r="H252" s="440"/>
      <c r="I252" s="440"/>
      <c r="J252" s="440"/>
      <c r="K252" s="440"/>
      <c r="L252" s="440"/>
      <c r="M252" s="441"/>
      <c r="N252" s="154" t="s">
        <v>395</v>
      </c>
      <c r="O252" s="154">
        <v>51</v>
      </c>
      <c r="P252" s="424"/>
      <c r="Q252" s="425"/>
      <c r="R252" s="3" t="str">
        <f t="shared" si="19"/>
        <v>ОПУ совмещенный с КРУЭ. Силовая сеть</v>
      </c>
      <c r="S252" s="3" t="s">
        <v>50</v>
      </c>
    </row>
    <row r="253" spans="1:19" ht="22.5" customHeight="1" x14ac:dyDescent="0.25">
      <c r="A253" s="82" t="s">
        <v>11</v>
      </c>
      <c r="B253" s="435"/>
      <c r="C253" s="152" t="s">
        <v>341</v>
      </c>
      <c r="D253" s="153" t="s">
        <v>59</v>
      </c>
      <c r="E253" s="153" t="s">
        <v>210</v>
      </c>
      <c r="F253" s="439" t="s">
        <v>395</v>
      </c>
      <c r="G253" s="440"/>
      <c r="H253" s="440"/>
      <c r="I253" s="440"/>
      <c r="J253" s="440"/>
      <c r="K253" s="440"/>
      <c r="L253" s="440"/>
      <c r="M253" s="441"/>
      <c r="N253" s="154" t="s">
        <v>396</v>
      </c>
      <c r="O253" s="154">
        <v>73</v>
      </c>
      <c r="P253" s="424"/>
      <c r="Q253" s="425"/>
      <c r="R253" s="3" t="str">
        <f t="shared" si="19"/>
        <v>ОПУ совмещенный с КРУЭ. Силовая сеть</v>
      </c>
      <c r="S253" s="3" t="s">
        <v>50</v>
      </c>
    </row>
    <row r="254" spans="1:19" ht="22.5" customHeight="1" x14ac:dyDescent="0.25">
      <c r="A254" s="82" t="s">
        <v>11</v>
      </c>
      <c r="B254" s="435"/>
      <c r="C254" s="152" t="s">
        <v>342</v>
      </c>
      <c r="D254" s="153" t="s">
        <v>59</v>
      </c>
      <c r="E254" s="153" t="s">
        <v>210</v>
      </c>
      <c r="F254" s="439" t="s">
        <v>395</v>
      </c>
      <c r="G254" s="440"/>
      <c r="H254" s="440"/>
      <c r="I254" s="440"/>
      <c r="J254" s="440"/>
      <c r="K254" s="440"/>
      <c r="L254" s="440"/>
      <c r="M254" s="441"/>
      <c r="N254" s="154" t="s">
        <v>397</v>
      </c>
      <c r="O254" s="154">
        <v>118</v>
      </c>
      <c r="P254" s="424"/>
      <c r="Q254" s="425"/>
      <c r="R254" s="3" t="str">
        <f t="shared" si="19"/>
        <v>ОПУ совмещенный с КРУЭ. Силовая сеть</v>
      </c>
      <c r="S254" s="3" t="s">
        <v>50</v>
      </c>
    </row>
    <row r="255" spans="1:19" ht="22.5" customHeight="1" x14ac:dyDescent="0.25">
      <c r="A255" s="82" t="s">
        <v>11</v>
      </c>
      <c r="B255" s="435"/>
      <c r="C255" s="152" t="s">
        <v>343</v>
      </c>
      <c r="D255" s="153" t="s">
        <v>59</v>
      </c>
      <c r="E255" s="153" t="s">
        <v>210</v>
      </c>
      <c r="F255" s="439" t="s">
        <v>397</v>
      </c>
      <c r="G255" s="440"/>
      <c r="H255" s="440"/>
      <c r="I255" s="440"/>
      <c r="J255" s="440"/>
      <c r="K255" s="440"/>
      <c r="L255" s="440"/>
      <c r="M255" s="441"/>
      <c r="N255" s="154" t="s">
        <v>398</v>
      </c>
      <c r="O255" s="154">
        <v>61</v>
      </c>
      <c r="P255" s="424"/>
      <c r="Q255" s="425"/>
      <c r="R255" s="3" t="str">
        <f t="shared" si="19"/>
        <v>ОПУ совмещенный с КРУЭ. Силовая сеть</v>
      </c>
      <c r="S255" s="3" t="s">
        <v>50</v>
      </c>
    </row>
    <row r="256" spans="1:19" ht="22.5" customHeight="1" x14ac:dyDescent="0.25">
      <c r="A256" s="82" t="s">
        <v>11</v>
      </c>
      <c r="B256" s="435"/>
      <c r="C256" s="152"/>
      <c r="D256" s="153"/>
      <c r="E256" s="153"/>
      <c r="F256" s="423"/>
      <c r="G256" s="423"/>
      <c r="H256" s="423"/>
      <c r="I256" s="423"/>
      <c r="J256" s="423"/>
      <c r="K256" s="423"/>
      <c r="L256" s="423"/>
      <c r="M256" s="423"/>
      <c r="N256" s="154"/>
      <c r="O256" s="154"/>
      <c r="P256" s="424"/>
      <c r="Q256" s="425"/>
      <c r="R256" s="3" t="str">
        <f t="shared" si="19"/>
        <v>ОПУ совмещенный с КРУЭ. Силовая сеть</v>
      </c>
      <c r="S256" s="3" t="s">
        <v>50</v>
      </c>
    </row>
    <row r="257" spans="1:19" ht="22.5" customHeight="1" x14ac:dyDescent="0.25">
      <c r="A257" s="82" t="s">
        <v>11</v>
      </c>
      <c r="B257" s="435"/>
      <c r="C257" s="152"/>
      <c r="D257" s="153"/>
      <c r="E257" s="153"/>
      <c r="F257" s="423"/>
      <c r="G257" s="423"/>
      <c r="H257" s="423"/>
      <c r="I257" s="423"/>
      <c r="J257" s="423"/>
      <c r="K257" s="423"/>
      <c r="L257" s="423"/>
      <c r="M257" s="423"/>
      <c r="N257" s="154"/>
      <c r="O257" s="154"/>
      <c r="P257" s="424"/>
      <c r="Q257" s="425"/>
      <c r="R257" s="3" t="str">
        <f t="shared" si="19"/>
        <v>ОПУ совмещенный с КРУЭ. Силовая сеть</v>
      </c>
      <c r="S257" s="3" t="s">
        <v>50</v>
      </c>
    </row>
    <row r="258" spans="1:19" ht="22.5" customHeight="1" x14ac:dyDescent="0.25">
      <c r="A258" s="82" t="s">
        <v>11</v>
      </c>
      <c r="B258" s="435"/>
      <c r="C258" s="152"/>
      <c r="D258" s="153"/>
      <c r="E258" s="153"/>
      <c r="F258" s="423"/>
      <c r="G258" s="423"/>
      <c r="H258" s="423"/>
      <c r="I258" s="423"/>
      <c r="J258" s="423"/>
      <c r="K258" s="423"/>
      <c r="L258" s="423"/>
      <c r="M258" s="423"/>
      <c r="N258" s="154"/>
      <c r="O258" s="154"/>
      <c r="P258" s="424"/>
      <c r="Q258" s="425"/>
      <c r="R258" s="3" t="str">
        <f t="shared" si="19"/>
        <v>ОПУ совмещенный с КРУЭ. Силовая сеть</v>
      </c>
      <c r="S258" s="3" t="s">
        <v>50</v>
      </c>
    </row>
    <row r="259" spans="1:19" ht="22.5" customHeight="1" x14ac:dyDescent="0.25">
      <c r="A259" s="82" t="s">
        <v>11</v>
      </c>
      <c r="B259" s="435"/>
      <c r="C259" s="152"/>
      <c r="D259" s="153"/>
      <c r="E259" s="153"/>
      <c r="F259" s="423"/>
      <c r="G259" s="423"/>
      <c r="H259" s="423"/>
      <c r="I259" s="423"/>
      <c r="J259" s="423"/>
      <c r="K259" s="423"/>
      <c r="L259" s="423"/>
      <c r="M259" s="423"/>
      <c r="N259" s="154"/>
      <c r="O259" s="154"/>
      <c r="P259" s="424"/>
      <c r="Q259" s="425"/>
      <c r="R259" s="3" t="str">
        <f t="shared" si="19"/>
        <v>ОПУ совмещенный с КРУЭ. Силовая сеть</v>
      </c>
      <c r="S259" s="3" t="s">
        <v>50</v>
      </c>
    </row>
    <row r="260" spans="1:19" ht="22.5" customHeight="1" x14ac:dyDescent="0.25">
      <c r="A260" s="82" t="s">
        <v>11</v>
      </c>
      <c r="B260" s="435"/>
      <c r="C260" s="152"/>
      <c r="D260" s="153"/>
      <c r="E260" s="153"/>
      <c r="F260" s="423"/>
      <c r="G260" s="423"/>
      <c r="H260" s="423"/>
      <c r="I260" s="423"/>
      <c r="J260" s="423"/>
      <c r="K260" s="423"/>
      <c r="L260" s="423"/>
      <c r="M260" s="423"/>
      <c r="N260" s="154"/>
      <c r="O260" s="154"/>
      <c r="P260" s="424"/>
      <c r="Q260" s="425"/>
      <c r="R260" s="3" t="str">
        <f t="shared" si="19"/>
        <v>ОПУ совмещенный с КРУЭ. Силовая сеть</v>
      </c>
      <c r="S260" s="3" t="s">
        <v>50</v>
      </c>
    </row>
    <row r="261" spans="1:19" ht="22.5" customHeight="1" x14ac:dyDescent="0.25">
      <c r="A261" s="82" t="s">
        <v>11</v>
      </c>
      <c r="B261" s="435"/>
      <c r="C261" s="152"/>
      <c r="D261" s="153"/>
      <c r="E261" s="153"/>
      <c r="F261" s="423"/>
      <c r="G261" s="423"/>
      <c r="H261" s="423"/>
      <c r="I261" s="423"/>
      <c r="J261" s="423"/>
      <c r="K261" s="423"/>
      <c r="L261" s="423"/>
      <c r="M261" s="423"/>
      <c r="N261" s="154"/>
      <c r="O261" s="154"/>
      <c r="P261" s="424"/>
      <c r="Q261" s="425"/>
      <c r="R261" s="3" t="str">
        <f t="shared" si="19"/>
        <v>ОПУ совмещенный с КРУЭ. Силовая сеть</v>
      </c>
      <c r="S261" s="3" t="s">
        <v>50</v>
      </c>
    </row>
    <row r="262" spans="1:19" ht="22.5" customHeight="1" x14ac:dyDescent="0.25">
      <c r="A262" s="82" t="s">
        <v>11</v>
      </c>
      <c r="B262" s="435"/>
      <c r="C262" s="152"/>
      <c r="D262" s="153"/>
      <c r="E262" s="153"/>
      <c r="F262" s="423"/>
      <c r="G262" s="423"/>
      <c r="H262" s="423"/>
      <c r="I262" s="423"/>
      <c r="J262" s="423"/>
      <c r="K262" s="423"/>
      <c r="L262" s="423"/>
      <c r="M262" s="423"/>
      <c r="N262" s="154"/>
      <c r="O262" s="154"/>
      <c r="P262" s="424"/>
      <c r="Q262" s="425"/>
      <c r="R262" s="3" t="str">
        <f t="shared" si="19"/>
        <v>ОПУ совмещенный с КРУЭ. Силовая сеть</v>
      </c>
      <c r="S262" s="3" t="s">
        <v>50</v>
      </c>
    </row>
    <row r="263" spans="1:19" ht="22.5" customHeight="1" thickBot="1" x14ac:dyDescent="0.3">
      <c r="A263" s="82" t="s">
        <v>11</v>
      </c>
      <c r="B263" s="435"/>
      <c r="C263" s="155"/>
      <c r="D263" s="156"/>
      <c r="E263" s="156"/>
      <c r="F263" s="426"/>
      <c r="G263" s="426"/>
      <c r="H263" s="426"/>
      <c r="I263" s="426"/>
      <c r="J263" s="426"/>
      <c r="K263" s="426"/>
      <c r="L263" s="426"/>
      <c r="M263" s="426"/>
      <c r="N263" s="157"/>
      <c r="O263" s="157"/>
      <c r="P263" s="427"/>
      <c r="Q263" s="428"/>
      <c r="R263" s="3" t="str">
        <f t="shared" si="19"/>
        <v>ОПУ совмещенный с КРУЭ. Силовая сеть</v>
      </c>
      <c r="S263" s="3" t="s">
        <v>50</v>
      </c>
    </row>
    <row r="264" spans="1:19" ht="13.5" customHeight="1" thickBot="1" x14ac:dyDescent="0.3">
      <c r="B264" s="29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139"/>
      <c r="P264" s="30"/>
      <c r="Q264" s="31"/>
      <c r="S264" s="3" t="s">
        <v>50</v>
      </c>
    </row>
    <row r="265" spans="1:19" s="4" customFormat="1" ht="13.5" customHeight="1" thickBot="1" x14ac:dyDescent="0.3">
      <c r="B265" s="140"/>
      <c r="C265" s="141"/>
      <c r="D265" s="141"/>
      <c r="E265" s="141"/>
      <c r="F265" s="141"/>
      <c r="G265" s="146"/>
      <c r="H265" s="146"/>
      <c r="I265" s="146"/>
      <c r="J265" s="146"/>
      <c r="K265" s="146"/>
      <c r="L265" s="146"/>
      <c r="M265" s="429" t="str">
        <f>Содержание!$AJ$29</f>
        <v>29-КМЧ-2015-027-ЭП.С</v>
      </c>
      <c r="N265" s="429"/>
      <c r="O265" s="429"/>
      <c r="P265" s="429"/>
      <c r="Q265" s="145" t="s">
        <v>18</v>
      </c>
      <c r="S265" s="3" t="s">
        <v>50</v>
      </c>
    </row>
    <row r="266" spans="1:19" s="4" customFormat="1" ht="13.5" customHeight="1" x14ac:dyDescent="0.25">
      <c r="B266" s="140"/>
      <c r="C266" s="141"/>
      <c r="D266" s="141"/>
      <c r="E266" s="141"/>
      <c r="F266" s="141"/>
      <c r="G266" s="147"/>
      <c r="H266" s="147"/>
      <c r="I266" s="147"/>
      <c r="J266" s="147"/>
      <c r="K266" s="147"/>
      <c r="L266" s="147"/>
      <c r="M266" s="430"/>
      <c r="N266" s="430"/>
      <c r="O266" s="430"/>
      <c r="P266" s="430"/>
      <c r="Q266" s="432">
        <f t="shared" ref="Q266" si="20">Q242+1</f>
        <v>13</v>
      </c>
      <c r="S266" s="3" t="s">
        <v>50</v>
      </c>
    </row>
    <row r="267" spans="1:19" s="4" customFormat="1" ht="13.5" customHeight="1" thickBot="1" x14ac:dyDescent="0.3">
      <c r="B267" s="137"/>
      <c r="C267" s="138"/>
      <c r="D267" s="138"/>
      <c r="E267" s="138"/>
      <c r="F267" s="138"/>
      <c r="G267" s="148" t="s">
        <v>25</v>
      </c>
      <c r="H267" s="158" t="s">
        <v>24</v>
      </c>
      <c r="I267" s="148" t="s">
        <v>18</v>
      </c>
      <c r="J267" s="148" t="s">
        <v>23</v>
      </c>
      <c r="K267" s="148" t="s">
        <v>22</v>
      </c>
      <c r="L267" s="148" t="s">
        <v>21</v>
      </c>
      <c r="M267" s="431"/>
      <c r="N267" s="431"/>
      <c r="O267" s="431"/>
      <c r="P267" s="431"/>
      <c r="Q267" s="433"/>
      <c r="S267" s="3" t="s">
        <v>50</v>
      </c>
    </row>
    <row r="268" spans="1:19" ht="22.5" customHeight="1" x14ac:dyDescent="0.25">
      <c r="A268" s="82" t="s">
        <v>11</v>
      </c>
      <c r="B268" s="434" t="str">
        <f>Содержание!G15</f>
        <v>ОПУ совмещенный с КРУЭ. Крановое оборудование</v>
      </c>
      <c r="C268" s="149" t="s">
        <v>400</v>
      </c>
      <c r="D268" s="150" t="s">
        <v>59</v>
      </c>
      <c r="E268" s="150" t="s">
        <v>200</v>
      </c>
      <c r="F268" s="436" t="s">
        <v>268</v>
      </c>
      <c r="G268" s="436"/>
      <c r="H268" s="436"/>
      <c r="I268" s="436"/>
      <c r="J268" s="436"/>
      <c r="K268" s="436"/>
      <c r="L268" s="436"/>
      <c r="M268" s="436"/>
      <c r="N268" s="151" t="s">
        <v>401</v>
      </c>
      <c r="O268" s="151">
        <v>30</v>
      </c>
      <c r="P268" s="437"/>
      <c r="Q268" s="438"/>
      <c r="R268" s="3" t="str">
        <f>B268</f>
        <v>ОПУ совмещенный с КРУЭ. Крановое оборудование</v>
      </c>
      <c r="S268" s="3" t="s">
        <v>50</v>
      </c>
    </row>
    <row r="269" spans="1:19" ht="22.5" customHeight="1" x14ac:dyDescent="0.25">
      <c r="A269" s="82" t="s">
        <v>11</v>
      </c>
      <c r="B269" s="435"/>
      <c r="C269" s="152" t="s">
        <v>402</v>
      </c>
      <c r="D269" s="153" t="s">
        <v>59</v>
      </c>
      <c r="E269" s="153" t="s">
        <v>195</v>
      </c>
      <c r="F269" s="439" t="s">
        <v>401</v>
      </c>
      <c r="G269" s="440"/>
      <c r="H269" s="440"/>
      <c r="I269" s="440"/>
      <c r="J269" s="440"/>
      <c r="K269" s="440"/>
      <c r="L269" s="440"/>
      <c r="M269" s="441"/>
      <c r="N269" s="154" t="s">
        <v>404</v>
      </c>
      <c r="O269" s="154">
        <v>20</v>
      </c>
      <c r="P269" s="424"/>
      <c r="Q269" s="425"/>
      <c r="R269" s="3" t="str">
        <f>R268</f>
        <v>ОПУ совмещенный с КРУЭ. Крановое оборудование</v>
      </c>
      <c r="S269" s="3" t="s">
        <v>50</v>
      </c>
    </row>
    <row r="270" spans="1:19" ht="22.5" customHeight="1" x14ac:dyDescent="0.25">
      <c r="A270" s="82" t="s">
        <v>11</v>
      </c>
      <c r="B270" s="435"/>
      <c r="C270" s="152" t="s">
        <v>403</v>
      </c>
      <c r="D270" s="153" t="s">
        <v>59</v>
      </c>
      <c r="E270" s="153" t="s">
        <v>195</v>
      </c>
      <c r="F270" s="439" t="s">
        <v>401</v>
      </c>
      <c r="G270" s="440"/>
      <c r="H270" s="440"/>
      <c r="I270" s="440"/>
      <c r="J270" s="440"/>
      <c r="K270" s="440"/>
      <c r="L270" s="440"/>
      <c r="M270" s="441"/>
      <c r="N270" s="154" t="s">
        <v>405</v>
      </c>
      <c r="O270" s="154">
        <v>18</v>
      </c>
      <c r="P270" s="424"/>
      <c r="Q270" s="425"/>
      <c r="R270" s="3" t="str">
        <f t="shared" ref="R270:R287" si="21">R269</f>
        <v>ОПУ совмещенный с КРУЭ. Крановое оборудование</v>
      </c>
      <c r="S270" s="3" t="s">
        <v>50</v>
      </c>
    </row>
    <row r="271" spans="1:19" ht="22.5" customHeight="1" x14ac:dyDescent="0.25">
      <c r="A271" s="82" t="s">
        <v>11</v>
      </c>
      <c r="B271" s="435"/>
      <c r="C271" s="152"/>
      <c r="D271" s="153"/>
      <c r="E271" s="153"/>
      <c r="F271" s="423"/>
      <c r="G271" s="423"/>
      <c r="H271" s="423"/>
      <c r="I271" s="423"/>
      <c r="J271" s="423"/>
      <c r="K271" s="423"/>
      <c r="L271" s="423"/>
      <c r="M271" s="423"/>
      <c r="N271" s="154"/>
      <c r="O271" s="154"/>
      <c r="P271" s="424"/>
      <c r="Q271" s="425"/>
      <c r="R271" s="3" t="str">
        <f t="shared" si="21"/>
        <v>ОПУ совмещенный с КРУЭ. Крановое оборудование</v>
      </c>
      <c r="S271" s="3" t="s">
        <v>50</v>
      </c>
    </row>
    <row r="272" spans="1:19" ht="22.5" customHeight="1" x14ac:dyDescent="0.25">
      <c r="A272" s="82" t="s">
        <v>11</v>
      </c>
      <c r="B272" s="435"/>
      <c r="C272" s="152"/>
      <c r="D272" s="153"/>
      <c r="E272" s="153"/>
      <c r="F272" s="423"/>
      <c r="G272" s="423"/>
      <c r="H272" s="423"/>
      <c r="I272" s="423"/>
      <c r="J272" s="423"/>
      <c r="K272" s="423"/>
      <c r="L272" s="423"/>
      <c r="M272" s="423"/>
      <c r="N272" s="154"/>
      <c r="O272" s="154"/>
      <c r="P272" s="424"/>
      <c r="Q272" s="425"/>
      <c r="R272" s="3" t="str">
        <f t="shared" si="21"/>
        <v>ОПУ совмещенный с КРУЭ. Крановое оборудование</v>
      </c>
      <c r="S272" s="3" t="s">
        <v>50</v>
      </c>
    </row>
    <row r="273" spans="1:19" ht="22.5" customHeight="1" x14ac:dyDescent="0.25">
      <c r="A273" s="82" t="s">
        <v>11</v>
      </c>
      <c r="B273" s="435"/>
      <c r="C273" s="152"/>
      <c r="D273" s="153"/>
      <c r="E273" s="153"/>
      <c r="F273" s="423"/>
      <c r="G273" s="423"/>
      <c r="H273" s="423"/>
      <c r="I273" s="423"/>
      <c r="J273" s="423"/>
      <c r="K273" s="423"/>
      <c r="L273" s="423"/>
      <c r="M273" s="423"/>
      <c r="N273" s="154"/>
      <c r="O273" s="154"/>
      <c r="P273" s="424"/>
      <c r="Q273" s="425"/>
      <c r="R273" s="3" t="str">
        <f t="shared" si="21"/>
        <v>ОПУ совмещенный с КРУЭ. Крановое оборудование</v>
      </c>
      <c r="S273" s="3" t="s">
        <v>50</v>
      </c>
    </row>
    <row r="274" spans="1:19" ht="22.5" customHeight="1" x14ac:dyDescent="0.25">
      <c r="A274" s="82" t="s">
        <v>11</v>
      </c>
      <c r="B274" s="435"/>
      <c r="C274" s="152"/>
      <c r="D274" s="153"/>
      <c r="E274" s="153"/>
      <c r="F274" s="423"/>
      <c r="G274" s="423"/>
      <c r="H274" s="423"/>
      <c r="I274" s="423"/>
      <c r="J274" s="423"/>
      <c r="K274" s="423"/>
      <c r="L274" s="423"/>
      <c r="M274" s="423"/>
      <c r="N274" s="154"/>
      <c r="O274" s="154"/>
      <c r="P274" s="424"/>
      <c r="Q274" s="425"/>
      <c r="R274" s="3" t="str">
        <f t="shared" si="21"/>
        <v>ОПУ совмещенный с КРУЭ. Крановое оборудование</v>
      </c>
      <c r="S274" s="3" t="s">
        <v>50</v>
      </c>
    </row>
    <row r="275" spans="1:19" ht="22.5" customHeight="1" x14ac:dyDescent="0.25">
      <c r="A275" s="82" t="s">
        <v>11</v>
      </c>
      <c r="B275" s="435"/>
      <c r="C275" s="152"/>
      <c r="D275" s="153"/>
      <c r="E275" s="153"/>
      <c r="F275" s="423"/>
      <c r="G275" s="423"/>
      <c r="H275" s="423"/>
      <c r="I275" s="423"/>
      <c r="J275" s="423"/>
      <c r="K275" s="423"/>
      <c r="L275" s="423"/>
      <c r="M275" s="423"/>
      <c r="N275" s="154"/>
      <c r="O275" s="154"/>
      <c r="P275" s="424"/>
      <c r="Q275" s="425"/>
      <c r="R275" s="3" t="str">
        <f t="shared" si="21"/>
        <v>ОПУ совмещенный с КРУЭ. Крановое оборудование</v>
      </c>
      <c r="S275" s="3" t="s">
        <v>50</v>
      </c>
    </row>
    <row r="276" spans="1:19" ht="22.5" customHeight="1" x14ac:dyDescent="0.25">
      <c r="A276" s="82" t="s">
        <v>11</v>
      </c>
      <c r="B276" s="435"/>
      <c r="C276" s="152"/>
      <c r="D276" s="153"/>
      <c r="E276" s="153"/>
      <c r="F276" s="423"/>
      <c r="G276" s="423"/>
      <c r="H276" s="423"/>
      <c r="I276" s="423"/>
      <c r="J276" s="423"/>
      <c r="K276" s="423"/>
      <c r="L276" s="423"/>
      <c r="M276" s="423"/>
      <c r="N276" s="154"/>
      <c r="O276" s="154"/>
      <c r="P276" s="424"/>
      <c r="Q276" s="425"/>
      <c r="R276" s="3" t="str">
        <f t="shared" si="21"/>
        <v>ОПУ совмещенный с КРУЭ. Крановое оборудование</v>
      </c>
      <c r="S276" s="3" t="s">
        <v>50</v>
      </c>
    </row>
    <row r="277" spans="1:19" ht="22.5" customHeight="1" x14ac:dyDescent="0.25">
      <c r="A277" s="82" t="s">
        <v>11</v>
      </c>
      <c r="B277" s="435"/>
      <c r="C277" s="152"/>
      <c r="D277" s="153"/>
      <c r="E277" s="153"/>
      <c r="F277" s="423"/>
      <c r="G277" s="423"/>
      <c r="H277" s="423"/>
      <c r="I277" s="423"/>
      <c r="J277" s="423"/>
      <c r="K277" s="423"/>
      <c r="L277" s="423"/>
      <c r="M277" s="423"/>
      <c r="N277" s="154"/>
      <c r="O277" s="154"/>
      <c r="P277" s="424"/>
      <c r="Q277" s="425"/>
      <c r="R277" s="3" t="str">
        <f t="shared" si="21"/>
        <v>ОПУ совмещенный с КРУЭ. Крановое оборудование</v>
      </c>
      <c r="S277" s="3" t="s">
        <v>50</v>
      </c>
    </row>
    <row r="278" spans="1:19" ht="22.5" customHeight="1" x14ac:dyDescent="0.25">
      <c r="A278" s="82" t="s">
        <v>11</v>
      </c>
      <c r="B278" s="435"/>
      <c r="C278" s="152"/>
      <c r="D278" s="153"/>
      <c r="E278" s="153"/>
      <c r="F278" s="423"/>
      <c r="G278" s="423"/>
      <c r="H278" s="423"/>
      <c r="I278" s="423"/>
      <c r="J278" s="423"/>
      <c r="K278" s="423"/>
      <c r="L278" s="423"/>
      <c r="M278" s="423"/>
      <c r="N278" s="154"/>
      <c r="O278" s="154"/>
      <c r="P278" s="424"/>
      <c r="Q278" s="425"/>
      <c r="R278" s="3" t="str">
        <f t="shared" si="21"/>
        <v>ОПУ совмещенный с КРУЭ. Крановое оборудование</v>
      </c>
      <c r="S278" s="3" t="s">
        <v>50</v>
      </c>
    </row>
    <row r="279" spans="1:19" ht="22.5" customHeight="1" x14ac:dyDescent="0.25">
      <c r="A279" s="82" t="s">
        <v>11</v>
      </c>
      <c r="B279" s="435"/>
      <c r="C279" s="152"/>
      <c r="D279" s="153"/>
      <c r="E279" s="153"/>
      <c r="F279" s="423"/>
      <c r="G279" s="423"/>
      <c r="H279" s="423"/>
      <c r="I279" s="423"/>
      <c r="J279" s="423"/>
      <c r="K279" s="423"/>
      <c r="L279" s="423"/>
      <c r="M279" s="423"/>
      <c r="N279" s="154"/>
      <c r="O279" s="154"/>
      <c r="P279" s="424"/>
      <c r="Q279" s="425"/>
      <c r="R279" s="3" t="str">
        <f t="shared" si="21"/>
        <v>ОПУ совмещенный с КРУЭ. Крановое оборудование</v>
      </c>
      <c r="S279" s="3" t="s">
        <v>50</v>
      </c>
    </row>
    <row r="280" spans="1:19" ht="22.5" customHeight="1" x14ac:dyDescent="0.25">
      <c r="A280" s="82" t="s">
        <v>11</v>
      </c>
      <c r="B280" s="435"/>
      <c r="C280" s="152"/>
      <c r="D280" s="153"/>
      <c r="E280" s="153"/>
      <c r="F280" s="423"/>
      <c r="G280" s="423"/>
      <c r="H280" s="423"/>
      <c r="I280" s="423"/>
      <c r="J280" s="423"/>
      <c r="K280" s="423"/>
      <c r="L280" s="423"/>
      <c r="M280" s="423"/>
      <c r="N280" s="154"/>
      <c r="O280" s="154"/>
      <c r="P280" s="424"/>
      <c r="Q280" s="425"/>
      <c r="R280" s="3" t="str">
        <f t="shared" si="21"/>
        <v>ОПУ совмещенный с КРУЭ. Крановое оборудование</v>
      </c>
      <c r="S280" s="3" t="s">
        <v>50</v>
      </c>
    </row>
    <row r="281" spans="1:19" ht="22.5" customHeight="1" x14ac:dyDescent="0.25">
      <c r="A281" s="82" t="s">
        <v>11</v>
      </c>
      <c r="B281" s="435"/>
      <c r="C281" s="152"/>
      <c r="D281" s="153"/>
      <c r="E281" s="153"/>
      <c r="F281" s="423"/>
      <c r="G281" s="423"/>
      <c r="H281" s="423"/>
      <c r="I281" s="423"/>
      <c r="J281" s="423"/>
      <c r="K281" s="423"/>
      <c r="L281" s="423"/>
      <c r="M281" s="423"/>
      <c r="N281" s="154"/>
      <c r="O281" s="154"/>
      <c r="P281" s="424"/>
      <c r="Q281" s="425"/>
      <c r="R281" s="3" t="str">
        <f t="shared" si="21"/>
        <v>ОПУ совмещенный с КРУЭ. Крановое оборудование</v>
      </c>
      <c r="S281" s="3" t="s">
        <v>50</v>
      </c>
    </row>
    <row r="282" spans="1:19" ht="22.5" customHeight="1" x14ac:dyDescent="0.25">
      <c r="A282" s="82" t="s">
        <v>11</v>
      </c>
      <c r="B282" s="435"/>
      <c r="C282" s="152"/>
      <c r="D282" s="153"/>
      <c r="E282" s="153"/>
      <c r="F282" s="423"/>
      <c r="G282" s="423"/>
      <c r="H282" s="423"/>
      <c r="I282" s="423"/>
      <c r="J282" s="423"/>
      <c r="K282" s="423"/>
      <c r="L282" s="423"/>
      <c r="M282" s="423"/>
      <c r="N282" s="154"/>
      <c r="O282" s="154"/>
      <c r="P282" s="424"/>
      <c r="Q282" s="425"/>
      <c r="R282" s="3" t="str">
        <f t="shared" si="21"/>
        <v>ОПУ совмещенный с КРУЭ. Крановое оборудование</v>
      </c>
      <c r="S282" s="3" t="s">
        <v>50</v>
      </c>
    </row>
    <row r="283" spans="1:19" ht="22.5" customHeight="1" x14ac:dyDescent="0.25">
      <c r="A283" s="82" t="s">
        <v>11</v>
      </c>
      <c r="B283" s="435"/>
      <c r="C283" s="152"/>
      <c r="D283" s="153"/>
      <c r="E283" s="153"/>
      <c r="F283" s="423"/>
      <c r="G283" s="423"/>
      <c r="H283" s="423"/>
      <c r="I283" s="423"/>
      <c r="J283" s="423"/>
      <c r="K283" s="423"/>
      <c r="L283" s="423"/>
      <c r="M283" s="423"/>
      <c r="N283" s="154"/>
      <c r="O283" s="154"/>
      <c r="P283" s="424"/>
      <c r="Q283" s="425"/>
      <c r="R283" s="3" t="str">
        <f t="shared" si="21"/>
        <v>ОПУ совмещенный с КРУЭ. Крановое оборудование</v>
      </c>
      <c r="S283" s="3" t="s">
        <v>50</v>
      </c>
    </row>
    <row r="284" spans="1:19" ht="22.5" customHeight="1" x14ac:dyDescent="0.25">
      <c r="A284" s="82" t="s">
        <v>11</v>
      </c>
      <c r="B284" s="435"/>
      <c r="C284" s="152"/>
      <c r="D284" s="153"/>
      <c r="E284" s="153"/>
      <c r="F284" s="423"/>
      <c r="G284" s="423"/>
      <c r="H284" s="423"/>
      <c r="I284" s="423"/>
      <c r="J284" s="423"/>
      <c r="K284" s="423"/>
      <c r="L284" s="423"/>
      <c r="M284" s="423"/>
      <c r="N284" s="154"/>
      <c r="O284" s="154"/>
      <c r="P284" s="424"/>
      <c r="Q284" s="425"/>
      <c r="R284" s="3" t="str">
        <f t="shared" si="21"/>
        <v>ОПУ совмещенный с КРУЭ. Крановое оборудование</v>
      </c>
      <c r="S284" s="3" t="s">
        <v>50</v>
      </c>
    </row>
    <row r="285" spans="1:19" ht="22.5" customHeight="1" x14ac:dyDescent="0.25">
      <c r="A285" s="82" t="s">
        <v>11</v>
      </c>
      <c r="B285" s="435"/>
      <c r="C285" s="152"/>
      <c r="D285" s="153"/>
      <c r="E285" s="153"/>
      <c r="F285" s="423"/>
      <c r="G285" s="423"/>
      <c r="H285" s="423"/>
      <c r="I285" s="423"/>
      <c r="J285" s="423"/>
      <c r="K285" s="423"/>
      <c r="L285" s="423"/>
      <c r="M285" s="423"/>
      <c r="N285" s="154"/>
      <c r="O285" s="154"/>
      <c r="P285" s="424"/>
      <c r="Q285" s="425"/>
      <c r="R285" s="3" t="str">
        <f t="shared" si="21"/>
        <v>ОПУ совмещенный с КРУЭ. Крановое оборудование</v>
      </c>
      <c r="S285" s="3" t="s">
        <v>50</v>
      </c>
    </row>
    <row r="286" spans="1:19" ht="22.5" customHeight="1" x14ac:dyDescent="0.25">
      <c r="A286" s="82" t="s">
        <v>11</v>
      </c>
      <c r="B286" s="435"/>
      <c r="C286" s="152"/>
      <c r="D286" s="153"/>
      <c r="E286" s="153"/>
      <c r="F286" s="423"/>
      <c r="G286" s="423"/>
      <c r="H286" s="423"/>
      <c r="I286" s="423"/>
      <c r="J286" s="423"/>
      <c r="K286" s="423"/>
      <c r="L286" s="423"/>
      <c r="M286" s="423"/>
      <c r="N286" s="154"/>
      <c r="O286" s="154"/>
      <c r="P286" s="424"/>
      <c r="Q286" s="425"/>
      <c r="R286" s="3" t="str">
        <f t="shared" si="21"/>
        <v>ОПУ совмещенный с КРУЭ. Крановое оборудование</v>
      </c>
      <c r="S286" s="3" t="s">
        <v>50</v>
      </c>
    </row>
    <row r="287" spans="1:19" ht="22.5" customHeight="1" thickBot="1" x14ac:dyDescent="0.3">
      <c r="A287" s="82" t="s">
        <v>11</v>
      </c>
      <c r="B287" s="435"/>
      <c r="C287" s="155"/>
      <c r="D287" s="156"/>
      <c r="E287" s="156"/>
      <c r="F287" s="426"/>
      <c r="G287" s="426"/>
      <c r="H287" s="426"/>
      <c r="I287" s="426"/>
      <c r="J287" s="426"/>
      <c r="K287" s="426"/>
      <c r="L287" s="426"/>
      <c r="M287" s="426"/>
      <c r="N287" s="157"/>
      <c r="O287" s="157"/>
      <c r="P287" s="427"/>
      <c r="Q287" s="428"/>
      <c r="R287" s="3" t="str">
        <f t="shared" si="21"/>
        <v>ОПУ совмещенный с КРУЭ. Крановое оборудование</v>
      </c>
      <c r="S287" s="3" t="s">
        <v>50</v>
      </c>
    </row>
    <row r="288" spans="1:19" ht="13.5" customHeight="1" thickBot="1" x14ac:dyDescent="0.3">
      <c r="B288" s="29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139"/>
      <c r="P288" s="30"/>
      <c r="Q288" s="31"/>
      <c r="S288" s="3" t="s">
        <v>50</v>
      </c>
    </row>
    <row r="289" spans="1:19" s="4" customFormat="1" ht="13.5" customHeight="1" thickBot="1" x14ac:dyDescent="0.3">
      <c r="B289" s="140"/>
      <c r="C289" s="141"/>
      <c r="D289" s="141"/>
      <c r="E289" s="141"/>
      <c r="F289" s="141"/>
      <c r="G289" s="146"/>
      <c r="H289" s="146"/>
      <c r="I289" s="146"/>
      <c r="J289" s="146"/>
      <c r="K289" s="146"/>
      <c r="L289" s="146"/>
      <c r="M289" s="429" t="str">
        <f>Содержание!$AJ$29</f>
        <v>29-КМЧ-2015-027-ЭП.С</v>
      </c>
      <c r="N289" s="429"/>
      <c r="O289" s="429"/>
      <c r="P289" s="429"/>
      <c r="Q289" s="145" t="s">
        <v>18</v>
      </c>
      <c r="S289" s="3" t="s">
        <v>50</v>
      </c>
    </row>
    <row r="290" spans="1:19" s="4" customFormat="1" ht="13.5" customHeight="1" x14ac:dyDescent="0.25">
      <c r="B290" s="140"/>
      <c r="C290" s="141"/>
      <c r="D290" s="141"/>
      <c r="E290" s="141"/>
      <c r="F290" s="141"/>
      <c r="G290" s="147"/>
      <c r="H290" s="147"/>
      <c r="I290" s="147"/>
      <c r="J290" s="147"/>
      <c r="K290" s="147"/>
      <c r="L290" s="147"/>
      <c r="M290" s="430"/>
      <c r="N290" s="430"/>
      <c r="O290" s="430"/>
      <c r="P290" s="430"/>
      <c r="Q290" s="432">
        <f t="shared" ref="Q290" si="22">Q266+1</f>
        <v>14</v>
      </c>
      <c r="S290" s="3" t="s">
        <v>50</v>
      </c>
    </row>
    <row r="291" spans="1:19" s="4" customFormat="1" ht="13.5" customHeight="1" thickBot="1" x14ac:dyDescent="0.3">
      <c r="B291" s="137"/>
      <c r="C291" s="138"/>
      <c r="D291" s="138"/>
      <c r="E291" s="138"/>
      <c r="F291" s="138"/>
      <c r="G291" s="148" t="s">
        <v>25</v>
      </c>
      <c r="H291" s="158" t="s">
        <v>24</v>
      </c>
      <c r="I291" s="148" t="s">
        <v>18</v>
      </c>
      <c r="J291" s="148" t="s">
        <v>23</v>
      </c>
      <c r="K291" s="148" t="s">
        <v>22</v>
      </c>
      <c r="L291" s="148" t="s">
        <v>21</v>
      </c>
      <c r="M291" s="431"/>
      <c r="N291" s="431"/>
      <c r="O291" s="431"/>
      <c r="P291" s="431"/>
      <c r="Q291" s="433"/>
      <c r="S291" s="3" t="s">
        <v>50</v>
      </c>
    </row>
    <row r="292" spans="1:19" ht="22.5" customHeight="1" x14ac:dyDescent="0.25">
      <c r="A292" s="82" t="s">
        <v>11</v>
      </c>
      <c r="B292" s="434" t="str">
        <f>Содержание!G17</f>
        <v>ОПУ совмещенный с КРУЭ. Обогрев кровли</v>
      </c>
      <c r="C292" s="149" t="s">
        <v>407</v>
      </c>
      <c r="D292" s="150" t="s">
        <v>59</v>
      </c>
      <c r="E292" s="150" t="s">
        <v>210</v>
      </c>
      <c r="F292" s="436" t="s">
        <v>268</v>
      </c>
      <c r="G292" s="436"/>
      <c r="H292" s="436"/>
      <c r="I292" s="436"/>
      <c r="J292" s="436"/>
      <c r="K292" s="436"/>
      <c r="L292" s="436"/>
      <c r="M292" s="436"/>
      <c r="N292" s="151" t="s">
        <v>412</v>
      </c>
      <c r="O292" s="151">
        <v>20</v>
      </c>
      <c r="P292" s="437"/>
      <c r="Q292" s="438"/>
      <c r="R292" s="3" t="str">
        <f>B292</f>
        <v>ОПУ совмещенный с КРУЭ. Обогрев кровли</v>
      </c>
      <c r="S292" s="3" t="s">
        <v>50</v>
      </c>
    </row>
    <row r="293" spans="1:19" ht="22.5" customHeight="1" x14ac:dyDescent="0.25">
      <c r="A293" s="82" t="s">
        <v>11</v>
      </c>
      <c r="B293" s="435"/>
      <c r="C293" s="152" t="s">
        <v>408</v>
      </c>
      <c r="D293" s="153" t="s">
        <v>59</v>
      </c>
      <c r="E293" s="153" t="s">
        <v>245</v>
      </c>
      <c r="F293" s="439" t="s">
        <v>412</v>
      </c>
      <c r="G293" s="440"/>
      <c r="H293" s="440"/>
      <c r="I293" s="440"/>
      <c r="J293" s="440"/>
      <c r="K293" s="440"/>
      <c r="L293" s="440"/>
      <c r="M293" s="441"/>
      <c r="N293" s="154" t="s">
        <v>413</v>
      </c>
      <c r="O293" s="154">
        <v>17</v>
      </c>
      <c r="P293" s="424"/>
      <c r="Q293" s="425"/>
      <c r="R293" s="3" t="str">
        <f>R292</f>
        <v>ОПУ совмещенный с КРУЭ. Обогрев кровли</v>
      </c>
      <c r="S293" s="3" t="s">
        <v>50</v>
      </c>
    </row>
    <row r="294" spans="1:19" ht="22.5" customHeight="1" x14ac:dyDescent="0.25">
      <c r="A294" s="82" t="s">
        <v>11</v>
      </c>
      <c r="B294" s="435"/>
      <c r="C294" s="152" t="s">
        <v>409</v>
      </c>
      <c r="D294" s="153" t="s">
        <v>59</v>
      </c>
      <c r="E294" s="153" t="s">
        <v>245</v>
      </c>
      <c r="F294" s="439" t="s">
        <v>412</v>
      </c>
      <c r="G294" s="440"/>
      <c r="H294" s="440"/>
      <c r="I294" s="440"/>
      <c r="J294" s="440"/>
      <c r="K294" s="440"/>
      <c r="L294" s="440"/>
      <c r="M294" s="441"/>
      <c r="N294" s="154" t="s">
        <v>414</v>
      </c>
      <c r="O294" s="154">
        <v>14</v>
      </c>
      <c r="P294" s="424"/>
      <c r="Q294" s="425"/>
      <c r="R294" s="3" t="str">
        <f t="shared" ref="R294:R311" si="23">R293</f>
        <v>ОПУ совмещенный с КРУЭ. Обогрев кровли</v>
      </c>
      <c r="S294" s="3" t="s">
        <v>50</v>
      </c>
    </row>
    <row r="295" spans="1:19" ht="22.5" customHeight="1" x14ac:dyDescent="0.25">
      <c r="A295" s="82" t="s">
        <v>11</v>
      </c>
      <c r="B295" s="435"/>
      <c r="C295" s="152" t="s">
        <v>410</v>
      </c>
      <c r="D295" s="153" t="s">
        <v>59</v>
      </c>
      <c r="E295" s="153" t="s">
        <v>245</v>
      </c>
      <c r="F295" s="439" t="s">
        <v>412</v>
      </c>
      <c r="G295" s="440"/>
      <c r="H295" s="440"/>
      <c r="I295" s="440"/>
      <c r="J295" s="440"/>
      <c r="K295" s="440"/>
      <c r="L295" s="440"/>
      <c r="M295" s="441"/>
      <c r="N295" s="154" t="s">
        <v>415</v>
      </c>
      <c r="O295" s="154">
        <v>17</v>
      </c>
      <c r="P295" s="424"/>
      <c r="Q295" s="425"/>
      <c r="R295" s="3" t="str">
        <f t="shared" si="23"/>
        <v>ОПУ совмещенный с КРУЭ. Обогрев кровли</v>
      </c>
      <c r="S295" s="3" t="s">
        <v>50</v>
      </c>
    </row>
    <row r="296" spans="1:19" ht="22.5" customHeight="1" x14ac:dyDescent="0.25">
      <c r="A296" s="82" t="s">
        <v>11</v>
      </c>
      <c r="B296" s="435"/>
      <c r="C296" s="152" t="s">
        <v>411</v>
      </c>
      <c r="D296" s="153" t="s">
        <v>59</v>
      </c>
      <c r="E296" s="153" t="s">
        <v>245</v>
      </c>
      <c r="F296" s="439" t="s">
        <v>412</v>
      </c>
      <c r="G296" s="440"/>
      <c r="H296" s="440"/>
      <c r="I296" s="440"/>
      <c r="J296" s="440"/>
      <c r="K296" s="440"/>
      <c r="L296" s="440"/>
      <c r="M296" s="441"/>
      <c r="N296" s="154" t="s">
        <v>416</v>
      </c>
      <c r="O296" s="154">
        <v>14</v>
      </c>
      <c r="P296" s="424"/>
      <c r="Q296" s="425"/>
      <c r="R296" s="3" t="str">
        <f t="shared" si="23"/>
        <v>ОПУ совмещенный с КРУЭ. Обогрев кровли</v>
      </c>
      <c r="S296" s="3" t="s">
        <v>50</v>
      </c>
    </row>
    <row r="297" spans="1:19" ht="22.5" customHeight="1" x14ac:dyDescent="0.25">
      <c r="A297" s="82" t="s">
        <v>11</v>
      </c>
      <c r="B297" s="435"/>
      <c r="C297" s="152"/>
      <c r="D297" s="153"/>
      <c r="E297" s="153"/>
      <c r="F297" s="423"/>
      <c r="G297" s="423"/>
      <c r="H297" s="423"/>
      <c r="I297" s="423"/>
      <c r="J297" s="423"/>
      <c r="K297" s="423"/>
      <c r="L297" s="423"/>
      <c r="M297" s="423"/>
      <c r="N297" s="154"/>
      <c r="O297" s="154"/>
      <c r="P297" s="424"/>
      <c r="Q297" s="425"/>
      <c r="R297" s="3" t="str">
        <f t="shared" si="23"/>
        <v>ОПУ совмещенный с КРУЭ. Обогрев кровли</v>
      </c>
      <c r="S297" s="3" t="s">
        <v>50</v>
      </c>
    </row>
    <row r="298" spans="1:19" ht="22.5" customHeight="1" x14ac:dyDescent="0.25">
      <c r="A298" s="82" t="s">
        <v>11</v>
      </c>
      <c r="B298" s="435"/>
      <c r="C298" s="152"/>
      <c r="D298" s="153"/>
      <c r="E298" s="153"/>
      <c r="F298" s="423"/>
      <c r="G298" s="423"/>
      <c r="H298" s="423"/>
      <c r="I298" s="423"/>
      <c r="J298" s="423"/>
      <c r="K298" s="423"/>
      <c r="L298" s="423"/>
      <c r="M298" s="423"/>
      <c r="N298" s="154"/>
      <c r="O298" s="154"/>
      <c r="P298" s="424"/>
      <c r="Q298" s="425"/>
      <c r="R298" s="3" t="str">
        <f t="shared" si="23"/>
        <v>ОПУ совмещенный с КРУЭ. Обогрев кровли</v>
      </c>
      <c r="S298" s="3" t="s">
        <v>50</v>
      </c>
    </row>
    <row r="299" spans="1:19" ht="22.5" customHeight="1" x14ac:dyDescent="0.25">
      <c r="A299" s="82" t="s">
        <v>11</v>
      </c>
      <c r="B299" s="435"/>
      <c r="C299" s="152"/>
      <c r="D299" s="153"/>
      <c r="E299" s="153"/>
      <c r="F299" s="423"/>
      <c r="G299" s="423"/>
      <c r="H299" s="423"/>
      <c r="I299" s="423"/>
      <c r="J299" s="423"/>
      <c r="K299" s="423"/>
      <c r="L299" s="423"/>
      <c r="M299" s="423"/>
      <c r="N299" s="154"/>
      <c r="O299" s="154"/>
      <c r="P299" s="424"/>
      <c r="Q299" s="425"/>
      <c r="R299" s="3" t="str">
        <f t="shared" si="23"/>
        <v>ОПУ совмещенный с КРУЭ. Обогрев кровли</v>
      </c>
      <c r="S299" s="3" t="s">
        <v>50</v>
      </c>
    </row>
    <row r="300" spans="1:19" ht="22.5" customHeight="1" x14ac:dyDescent="0.25">
      <c r="A300" s="82" t="s">
        <v>11</v>
      </c>
      <c r="B300" s="435"/>
      <c r="C300" s="152"/>
      <c r="D300" s="153"/>
      <c r="E300" s="153"/>
      <c r="F300" s="423"/>
      <c r="G300" s="423"/>
      <c r="H300" s="423"/>
      <c r="I300" s="423"/>
      <c r="J300" s="423"/>
      <c r="K300" s="423"/>
      <c r="L300" s="423"/>
      <c r="M300" s="423"/>
      <c r="N300" s="154"/>
      <c r="O300" s="154"/>
      <c r="P300" s="424"/>
      <c r="Q300" s="425"/>
      <c r="R300" s="3" t="str">
        <f t="shared" si="23"/>
        <v>ОПУ совмещенный с КРУЭ. Обогрев кровли</v>
      </c>
      <c r="S300" s="3" t="s">
        <v>50</v>
      </c>
    </row>
    <row r="301" spans="1:19" ht="22.5" customHeight="1" x14ac:dyDescent="0.25">
      <c r="A301" s="82" t="s">
        <v>11</v>
      </c>
      <c r="B301" s="435"/>
      <c r="C301" s="152"/>
      <c r="D301" s="153"/>
      <c r="E301" s="153"/>
      <c r="F301" s="423"/>
      <c r="G301" s="423"/>
      <c r="H301" s="423"/>
      <c r="I301" s="423"/>
      <c r="J301" s="423"/>
      <c r="K301" s="423"/>
      <c r="L301" s="423"/>
      <c r="M301" s="423"/>
      <c r="N301" s="154"/>
      <c r="O301" s="154"/>
      <c r="P301" s="424"/>
      <c r="Q301" s="425"/>
      <c r="R301" s="3" t="str">
        <f t="shared" si="23"/>
        <v>ОПУ совмещенный с КРУЭ. Обогрев кровли</v>
      </c>
      <c r="S301" s="3" t="s">
        <v>50</v>
      </c>
    </row>
    <row r="302" spans="1:19" ht="22.5" customHeight="1" x14ac:dyDescent="0.25">
      <c r="A302" s="82" t="s">
        <v>11</v>
      </c>
      <c r="B302" s="435"/>
      <c r="C302" s="152"/>
      <c r="D302" s="153"/>
      <c r="E302" s="153"/>
      <c r="F302" s="423"/>
      <c r="G302" s="423"/>
      <c r="H302" s="423"/>
      <c r="I302" s="423"/>
      <c r="J302" s="423"/>
      <c r="K302" s="423"/>
      <c r="L302" s="423"/>
      <c r="M302" s="423"/>
      <c r="N302" s="154"/>
      <c r="O302" s="154"/>
      <c r="P302" s="424"/>
      <c r="Q302" s="425"/>
      <c r="R302" s="3" t="str">
        <f t="shared" si="23"/>
        <v>ОПУ совмещенный с КРУЭ. Обогрев кровли</v>
      </c>
      <c r="S302" s="3" t="s">
        <v>50</v>
      </c>
    </row>
    <row r="303" spans="1:19" ht="22.5" customHeight="1" x14ac:dyDescent="0.25">
      <c r="A303" s="82" t="s">
        <v>11</v>
      </c>
      <c r="B303" s="435"/>
      <c r="C303" s="152"/>
      <c r="D303" s="153"/>
      <c r="E303" s="153"/>
      <c r="F303" s="423"/>
      <c r="G303" s="423"/>
      <c r="H303" s="423"/>
      <c r="I303" s="423"/>
      <c r="J303" s="423"/>
      <c r="K303" s="423"/>
      <c r="L303" s="423"/>
      <c r="M303" s="423"/>
      <c r="N303" s="154"/>
      <c r="O303" s="154"/>
      <c r="P303" s="424"/>
      <c r="Q303" s="425"/>
      <c r="R303" s="3" t="str">
        <f t="shared" si="23"/>
        <v>ОПУ совмещенный с КРУЭ. Обогрев кровли</v>
      </c>
      <c r="S303" s="3" t="s">
        <v>50</v>
      </c>
    </row>
    <row r="304" spans="1:19" ht="22.5" customHeight="1" x14ac:dyDescent="0.25">
      <c r="A304" s="82" t="s">
        <v>11</v>
      </c>
      <c r="B304" s="435"/>
      <c r="C304" s="152"/>
      <c r="D304" s="153"/>
      <c r="E304" s="153"/>
      <c r="F304" s="423"/>
      <c r="G304" s="423"/>
      <c r="H304" s="423"/>
      <c r="I304" s="423"/>
      <c r="J304" s="423"/>
      <c r="K304" s="423"/>
      <c r="L304" s="423"/>
      <c r="M304" s="423"/>
      <c r="N304" s="154"/>
      <c r="O304" s="154"/>
      <c r="P304" s="424"/>
      <c r="Q304" s="425"/>
      <c r="R304" s="3" t="str">
        <f t="shared" si="23"/>
        <v>ОПУ совмещенный с КРУЭ. Обогрев кровли</v>
      </c>
      <c r="S304" s="3" t="s">
        <v>50</v>
      </c>
    </row>
    <row r="305" spans="1:19" ht="22.5" customHeight="1" x14ac:dyDescent="0.25">
      <c r="A305" s="82" t="s">
        <v>11</v>
      </c>
      <c r="B305" s="435"/>
      <c r="C305" s="152"/>
      <c r="D305" s="153"/>
      <c r="E305" s="153"/>
      <c r="F305" s="423"/>
      <c r="G305" s="423"/>
      <c r="H305" s="423"/>
      <c r="I305" s="423"/>
      <c r="J305" s="423"/>
      <c r="K305" s="423"/>
      <c r="L305" s="423"/>
      <c r="M305" s="423"/>
      <c r="N305" s="154"/>
      <c r="O305" s="154"/>
      <c r="P305" s="424"/>
      <c r="Q305" s="425"/>
      <c r="R305" s="3" t="str">
        <f t="shared" si="23"/>
        <v>ОПУ совмещенный с КРУЭ. Обогрев кровли</v>
      </c>
      <c r="S305" s="3" t="s">
        <v>50</v>
      </c>
    </row>
    <row r="306" spans="1:19" ht="22.5" customHeight="1" x14ac:dyDescent="0.25">
      <c r="A306" s="82" t="s">
        <v>11</v>
      </c>
      <c r="B306" s="435"/>
      <c r="C306" s="152"/>
      <c r="D306" s="153"/>
      <c r="E306" s="153"/>
      <c r="F306" s="423"/>
      <c r="G306" s="423"/>
      <c r="H306" s="423"/>
      <c r="I306" s="423"/>
      <c r="J306" s="423"/>
      <c r="K306" s="423"/>
      <c r="L306" s="423"/>
      <c r="M306" s="423"/>
      <c r="N306" s="154"/>
      <c r="O306" s="154"/>
      <c r="P306" s="424"/>
      <c r="Q306" s="425"/>
      <c r="R306" s="3" t="str">
        <f t="shared" si="23"/>
        <v>ОПУ совмещенный с КРУЭ. Обогрев кровли</v>
      </c>
      <c r="S306" s="3" t="s">
        <v>50</v>
      </c>
    </row>
    <row r="307" spans="1:19" ht="22.5" customHeight="1" x14ac:dyDescent="0.25">
      <c r="A307" s="82" t="s">
        <v>11</v>
      </c>
      <c r="B307" s="435"/>
      <c r="C307" s="152"/>
      <c r="D307" s="153"/>
      <c r="E307" s="153"/>
      <c r="F307" s="423"/>
      <c r="G307" s="423"/>
      <c r="H307" s="423"/>
      <c r="I307" s="423"/>
      <c r="J307" s="423"/>
      <c r="K307" s="423"/>
      <c r="L307" s="423"/>
      <c r="M307" s="423"/>
      <c r="N307" s="154"/>
      <c r="O307" s="154"/>
      <c r="P307" s="424"/>
      <c r="Q307" s="425"/>
      <c r="R307" s="3" t="str">
        <f t="shared" si="23"/>
        <v>ОПУ совмещенный с КРУЭ. Обогрев кровли</v>
      </c>
      <c r="S307" s="3" t="s">
        <v>50</v>
      </c>
    </row>
    <row r="308" spans="1:19" ht="22.5" customHeight="1" x14ac:dyDescent="0.25">
      <c r="A308" s="82" t="s">
        <v>11</v>
      </c>
      <c r="B308" s="435"/>
      <c r="C308" s="152"/>
      <c r="D308" s="153"/>
      <c r="E308" s="153"/>
      <c r="F308" s="423"/>
      <c r="G308" s="423"/>
      <c r="H308" s="423"/>
      <c r="I308" s="423"/>
      <c r="J308" s="423"/>
      <c r="K308" s="423"/>
      <c r="L308" s="423"/>
      <c r="M308" s="423"/>
      <c r="N308" s="154"/>
      <c r="O308" s="154"/>
      <c r="P308" s="424"/>
      <c r="Q308" s="425"/>
      <c r="R308" s="3" t="str">
        <f t="shared" si="23"/>
        <v>ОПУ совмещенный с КРУЭ. Обогрев кровли</v>
      </c>
      <c r="S308" s="3" t="s">
        <v>50</v>
      </c>
    </row>
    <row r="309" spans="1:19" ht="22.5" customHeight="1" x14ac:dyDescent="0.25">
      <c r="A309" s="82" t="s">
        <v>11</v>
      </c>
      <c r="B309" s="435"/>
      <c r="C309" s="152"/>
      <c r="D309" s="153"/>
      <c r="E309" s="153"/>
      <c r="F309" s="423"/>
      <c r="G309" s="423"/>
      <c r="H309" s="423"/>
      <c r="I309" s="423"/>
      <c r="J309" s="423"/>
      <c r="K309" s="423"/>
      <c r="L309" s="423"/>
      <c r="M309" s="423"/>
      <c r="N309" s="154"/>
      <c r="O309" s="154"/>
      <c r="P309" s="424"/>
      <c r="Q309" s="425"/>
      <c r="R309" s="3" t="str">
        <f t="shared" si="23"/>
        <v>ОПУ совмещенный с КРУЭ. Обогрев кровли</v>
      </c>
      <c r="S309" s="3" t="s">
        <v>50</v>
      </c>
    </row>
    <row r="310" spans="1:19" ht="22.5" customHeight="1" x14ac:dyDescent="0.25">
      <c r="A310" s="82" t="s">
        <v>11</v>
      </c>
      <c r="B310" s="435"/>
      <c r="C310" s="152"/>
      <c r="D310" s="153"/>
      <c r="E310" s="153"/>
      <c r="F310" s="423"/>
      <c r="G310" s="423"/>
      <c r="H310" s="423"/>
      <c r="I310" s="423"/>
      <c r="J310" s="423"/>
      <c r="K310" s="423"/>
      <c r="L310" s="423"/>
      <c r="M310" s="423"/>
      <c r="N310" s="154"/>
      <c r="O310" s="154"/>
      <c r="P310" s="424"/>
      <c r="Q310" s="425"/>
      <c r="R310" s="3" t="str">
        <f t="shared" si="23"/>
        <v>ОПУ совмещенный с КРУЭ. Обогрев кровли</v>
      </c>
      <c r="S310" s="3" t="s">
        <v>50</v>
      </c>
    </row>
    <row r="311" spans="1:19" ht="22.5" customHeight="1" thickBot="1" x14ac:dyDescent="0.3">
      <c r="A311" s="82" t="s">
        <v>11</v>
      </c>
      <c r="B311" s="435"/>
      <c r="C311" s="155"/>
      <c r="D311" s="156"/>
      <c r="E311" s="156"/>
      <c r="F311" s="426"/>
      <c r="G311" s="426"/>
      <c r="H311" s="426"/>
      <c r="I311" s="426"/>
      <c r="J311" s="426"/>
      <c r="K311" s="426"/>
      <c r="L311" s="426"/>
      <c r="M311" s="426"/>
      <c r="N311" s="157"/>
      <c r="O311" s="157"/>
      <c r="P311" s="427"/>
      <c r="Q311" s="428"/>
      <c r="R311" s="3" t="str">
        <f t="shared" si="23"/>
        <v>ОПУ совмещенный с КРУЭ. Обогрев кровли</v>
      </c>
      <c r="S311" s="3" t="s">
        <v>50</v>
      </c>
    </row>
    <row r="312" spans="1:19" ht="13.5" customHeight="1" thickBot="1" x14ac:dyDescent="0.3">
      <c r="B312" s="29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139"/>
      <c r="P312" s="30"/>
      <c r="Q312" s="31"/>
      <c r="S312" s="3" t="s">
        <v>50</v>
      </c>
    </row>
    <row r="313" spans="1:19" s="4" customFormat="1" ht="13.5" customHeight="1" thickBot="1" x14ac:dyDescent="0.3">
      <c r="B313" s="140"/>
      <c r="C313" s="141"/>
      <c r="D313" s="141"/>
      <c r="E313" s="141"/>
      <c r="F313" s="141"/>
      <c r="G313" s="146"/>
      <c r="H313" s="146"/>
      <c r="I313" s="146"/>
      <c r="J313" s="146"/>
      <c r="K313" s="146"/>
      <c r="L313" s="146"/>
      <c r="M313" s="429" t="str">
        <f>Содержание!$AJ$29</f>
        <v>29-КМЧ-2015-027-ЭП.С</v>
      </c>
      <c r="N313" s="429"/>
      <c r="O313" s="429"/>
      <c r="P313" s="429"/>
      <c r="Q313" s="145" t="s">
        <v>18</v>
      </c>
      <c r="S313" s="3" t="s">
        <v>50</v>
      </c>
    </row>
    <row r="314" spans="1:19" s="4" customFormat="1" ht="13.5" customHeight="1" x14ac:dyDescent="0.25">
      <c r="B314" s="140"/>
      <c r="C314" s="141"/>
      <c r="D314" s="141"/>
      <c r="E314" s="141"/>
      <c r="F314" s="141"/>
      <c r="G314" s="147"/>
      <c r="H314" s="147"/>
      <c r="I314" s="147"/>
      <c r="J314" s="147"/>
      <c r="K314" s="147"/>
      <c r="L314" s="147"/>
      <c r="M314" s="430"/>
      <c r="N314" s="430"/>
      <c r="O314" s="430"/>
      <c r="P314" s="430"/>
      <c r="Q314" s="432">
        <f t="shared" ref="Q314" si="24">Q290+1</f>
        <v>15</v>
      </c>
      <c r="S314" s="3" t="s">
        <v>50</v>
      </c>
    </row>
    <row r="315" spans="1:19" s="4" customFormat="1" ht="13.5" customHeight="1" thickBot="1" x14ac:dyDescent="0.3">
      <c r="B315" s="137"/>
      <c r="C315" s="138"/>
      <c r="D315" s="138"/>
      <c r="E315" s="138"/>
      <c r="F315" s="138"/>
      <c r="G315" s="148" t="s">
        <v>25</v>
      </c>
      <c r="H315" s="158" t="s">
        <v>24</v>
      </c>
      <c r="I315" s="148" t="s">
        <v>18</v>
      </c>
      <c r="J315" s="148" t="s">
        <v>23</v>
      </c>
      <c r="K315" s="148" t="s">
        <v>22</v>
      </c>
      <c r="L315" s="148" t="s">
        <v>21</v>
      </c>
      <c r="M315" s="431"/>
      <c r="N315" s="431"/>
      <c r="O315" s="431"/>
      <c r="P315" s="431"/>
      <c r="Q315" s="433"/>
      <c r="S315" s="3" t="s">
        <v>50</v>
      </c>
    </row>
    <row r="316" spans="1:19" ht="22.5" customHeight="1" x14ac:dyDescent="0.25">
      <c r="A316" s="82" t="s">
        <v>8</v>
      </c>
      <c r="B316" s="434" t="str">
        <f>Содержание!G19</f>
        <v>Установка дугогасящих реакторов.</v>
      </c>
      <c r="C316" s="149" t="s">
        <v>431</v>
      </c>
      <c r="D316" s="165" t="s">
        <v>95</v>
      </c>
      <c r="E316" s="165" t="s">
        <v>237</v>
      </c>
      <c r="F316" s="436" t="s">
        <v>429</v>
      </c>
      <c r="G316" s="436"/>
      <c r="H316" s="436"/>
      <c r="I316" s="436"/>
      <c r="J316" s="436"/>
      <c r="K316" s="436"/>
      <c r="L316" s="436"/>
      <c r="M316" s="436"/>
      <c r="N316" s="151" t="s">
        <v>433</v>
      </c>
      <c r="O316" s="151">
        <v>55</v>
      </c>
      <c r="P316" s="437"/>
      <c r="Q316" s="438"/>
      <c r="R316" s="3" t="str">
        <f>B316</f>
        <v>Установка дугогасящих реакторов.</v>
      </c>
      <c r="S316" s="3" t="s">
        <v>50</v>
      </c>
    </row>
    <row r="317" spans="1:19" ht="22.5" customHeight="1" x14ac:dyDescent="0.25">
      <c r="A317" s="82" t="s">
        <v>8</v>
      </c>
      <c r="B317" s="435"/>
      <c r="C317" s="152" t="s">
        <v>432</v>
      </c>
      <c r="D317" s="166" t="s">
        <v>95</v>
      </c>
      <c r="E317" s="166" t="s">
        <v>237</v>
      </c>
      <c r="F317" s="439" t="s">
        <v>430</v>
      </c>
      <c r="G317" s="440"/>
      <c r="H317" s="440"/>
      <c r="I317" s="440"/>
      <c r="J317" s="440"/>
      <c r="K317" s="440"/>
      <c r="L317" s="440"/>
      <c r="M317" s="441"/>
      <c r="N317" s="154" t="s">
        <v>434</v>
      </c>
      <c r="O317" s="154">
        <v>40</v>
      </c>
      <c r="P317" s="424"/>
      <c r="Q317" s="425"/>
      <c r="R317" s="3" t="str">
        <f>R316</f>
        <v>Установка дугогасящих реакторов.</v>
      </c>
      <c r="S317" s="3" t="s">
        <v>50</v>
      </c>
    </row>
    <row r="318" spans="1:19" ht="22.5" customHeight="1" x14ac:dyDescent="0.25">
      <c r="A318" s="82" t="s">
        <v>11</v>
      </c>
      <c r="B318" s="435"/>
      <c r="C318" s="152"/>
      <c r="D318" s="153"/>
      <c r="E318" s="153"/>
      <c r="F318" s="423"/>
      <c r="G318" s="423"/>
      <c r="H318" s="423"/>
      <c r="I318" s="423"/>
      <c r="J318" s="423"/>
      <c r="K318" s="423"/>
      <c r="L318" s="423"/>
      <c r="M318" s="423"/>
      <c r="N318" s="154"/>
      <c r="O318" s="154"/>
      <c r="P318" s="424"/>
      <c r="Q318" s="425"/>
      <c r="R318" s="3" t="str">
        <f t="shared" ref="R318:R335" si="25">R317</f>
        <v>Установка дугогасящих реакторов.</v>
      </c>
      <c r="S318" s="3" t="s">
        <v>50</v>
      </c>
    </row>
    <row r="319" spans="1:19" ht="22.5" customHeight="1" x14ac:dyDescent="0.25">
      <c r="A319" s="82" t="s">
        <v>11</v>
      </c>
      <c r="B319" s="435"/>
      <c r="C319" s="152"/>
      <c r="D319" s="153"/>
      <c r="E319" s="153"/>
      <c r="F319" s="423"/>
      <c r="G319" s="423"/>
      <c r="H319" s="423"/>
      <c r="I319" s="423"/>
      <c r="J319" s="423"/>
      <c r="K319" s="423"/>
      <c r="L319" s="423"/>
      <c r="M319" s="423"/>
      <c r="N319" s="154"/>
      <c r="O319" s="154"/>
      <c r="P319" s="424"/>
      <c r="Q319" s="425"/>
      <c r="R319" s="3" t="str">
        <f t="shared" si="25"/>
        <v>Установка дугогасящих реакторов.</v>
      </c>
      <c r="S319" s="3" t="s">
        <v>50</v>
      </c>
    </row>
    <row r="320" spans="1:19" ht="22.5" customHeight="1" x14ac:dyDescent="0.25">
      <c r="A320" s="82" t="s">
        <v>11</v>
      </c>
      <c r="B320" s="435"/>
      <c r="C320" s="152"/>
      <c r="D320" s="153"/>
      <c r="E320" s="153"/>
      <c r="F320" s="423"/>
      <c r="G320" s="423"/>
      <c r="H320" s="423"/>
      <c r="I320" s="423"/>
      <c r="J320" s="423"/>
      <c r="K320" s="423"/>
      <c r="L320" s="423"/>
      <c r="M320" s="423"/>
      <c r="N320" s="154"/>
      <c r="O320" s="154"/>
      <c r="P320" s="424"/>
      <c r="Q320" s="425"/>
      <c r="R320" s="3" t="str">
        <f t="shared" si="25"/>
        <v>Установка дугогасящих реакторов.</v>
      </c>
      <c r="S320" s="3" t="s">
        <v>50</v>
      </c>
    </row>
    <row r="321" spans="1:19" ht="22.5" customHeight="1" x14ac:dyDescent="0.25">
      <c r="A321" s="82" t="s">
        <v>11</v>
      </c>
      <c r="B321" s="435"/>
      <c r="C321" s="152"/>
      <c r="D321" s="153"/>
      <c r="E321" s="153"/>
      <c r="F321" s="423"/>
      <c r="G321" s="423"/>
      <c r="H321" s="423"/>
      <c r="I321" s="423"/>
      <c r="J321" s="423"/>
      <c r="K321" s="423"/>
      <c r="L321" s="423"/>
      <c r="M321" s="423"/>
      <c r="N321" s="154"/>
      <c r="O321" s="154"/>
      <c r="P321" s="424"/>
      <c r="Q321" s="425"/>
      <c r="R321" s="3" t="str">
        <f t="shared" si="25"/>
        <v>Установка дугогасящих реакторов.</v>
      </c>
      <c r="S321" s="3" t="s">
        <v>50</v>
      </c>
    </row>
    <row r="322" spans="1:19" ht="22.5" customHeight="1" x14ac:dyDescent="0.25">
      <c r="A322" s="82" t="s">
        <v>11</v>
      </c>
      <c r="B322" s="435"/>
      <c r="C322" s="152"/>
      <c r="D322" s="153"/>
      <c r="E322" s="153"/>
      <c r="F322" s="423"/>
      <c r="G322" s="423"/>
      <c r="H322" s="423"/>
      <c r="I322" s="423"/>
      <c r="J322" s="423"/>
      <c r="K322" s="423"/>
      <c r="L322" s="423"/>
      <c r="M322" s="423"/>
      <c r="N322" s="154"/>
      <c r="O322" s="154"/>
      <c r="P322" s="424"/>
      <c r="Q322" s="425"/>
      <c r="R322" s="3" t="str">
        <f t="shared" si="25"/>
        <v>Установка дугогасящих реакторов.</v>
      </c>
      <c r="S322" s="3" t="s">
        <v>50</v>
      </c>
    </row>
    <row r="323" spans="1:19" ht="22.5" customHeight="1" x14ac:dyDescent="0.25">
      <c r="A323" s="82" t="s">
        <v>11</v>
      </c>
      <c r="B323" s="435"/>
      <c r="C323" s="152"/>
      <c r="D323" s="153"/>
      <c r="E323" s="153"/>
      <c r="F323" s="423"/>
      <c r="G323" s="423"/>
      <c r="H323" s="423"/>
      <c r="I323" s="423"/>
      <c r="J323" s="423"/>
      <c r="K323" s="423"/>
      <c r="L323" s="423"/>
      <c r="M323" s="423"/>
      <c r="N323" s="154"/>
      <c r="O323" s="154"/>
      <c r="P323" s="424"/>
      <c r="Q323" s="425"/>
      <c r="R323" s="3" t="str">
        <f t="shared" si="25"/>
        <v>Установка дугогасящих реакторов.</v>
      </c>
      <c r="S323" s="3" t="s">
        <v>50</v>
      </c>
    </row>
    <row r="324" spans="1:19" ht="22.5" customHeight="1" x14ac:dyDescent="0.25">
      <c r="A324" s="82" t="s">
        <v>11</v>
      </c>
      <c r="B324" s="435"/>
      <c r="C324" s="152"/>
      <c r="D324" s="153"/>
      <c r="E324" s="153"/>
      <c r="F324" s="423"/>
      <c r="G324" s="423"/>
      <c r="H324" s="423"/>
      <c r="I324" s="423"/>
      <c r="J324" s="423"/>
      <c r="K324" s="423"/>
      <c r="L324" s="423"/>
      <c r="M324" s="423"/>
      <c r="N324" s="154"/>
      <c r="O324" s="154"/>
      <c r="P324" s="424"/>
      <c r="Q324" s="425"/>
      <c r="R324" s="3" t="str">
        <f t="shared" si="25"/>
        <v>Установка дугогасящих реакторов.</v>
      </c>
      <c r="S324" s="3" t="s">
        <v>50</v>
      </c>
    </row>
    <row r="325" spans="1:19" ht="22.5" customHeight="1" x14ac:dyDescent="0.25">
      <c r="A325" s="82" t="s">
        <v>11</v>
      </c>
      <c r="B325" s="435"/>
      <c r="C325" s="152"/>
      <c r="D325" s="153"/>
      <c r="E325" s="153"/>
      <c r="F325" s="423"/>
      <c r="G325" s="423"/>
      <c r="H325" s="423"/>
      <c r="I325" s="423"/>
      <c r="J325" s="423"/>
      <c r="K325" s="423"/>
      <c r="L325" s="423"/>
      <c r="M325" s="423"/>
      <c r="N325" s="154"/>
      <c r="O325" s="154"/>
      <c r="P325" s="424"/>
      <c r="Q325" s="425"/>
      <c r="R325" s="3" t="str">
        <f t="shared" si="25"/>
        <v>Установка дугогасящих реакторов.</v>
      </c>
      <c r="S325" s="3" t="s">
        <v>50</v>
      </c>
    </row>
    <row r="326" spans="1:19" ht="22.5" customHeight="1" x14ac:dyDescent="0.25">
      <c r="A326" s="82" t="s">
        <v>11</v>
      </c>
      <c r="B326" s="435"/>
      <c r="C326" s="152"/>
      <c r="D326" s="153"/>
      <c r="E326" s="153"/>
      <c r="F326" s="423"/>
      <c r="G326" s="423"/>
      <c r="H326" s="423"/>
      <c r="I326" s="423"/>
      <c r="J326" s="423"/>
      <c r="K326" s="423"/>
      <c r="L326" s="423"/>
      <c r="M326" s="423"/>
      <c r="N326" s="154"/>
      <c r="O326" s="154"/>
      <c r="P326" s="424"/>
      <c r="Q326" s="425"/>
      <c r="R326" s="3" t="str">
        <f t="shared" si="25"/>
        <v>Установка дугогасящих реакторов.</v>
      </c>
      <c r="S326" s="3" t="s">
        <v>50</v>
      </c>
    </row>
    <row r="327" spans="1:19" ht="22.5" customHeight="1" x14ac:dyDescent="0.25">
      <c r="A327" s="82" t="s">
        <v>11</v>
      </c>
      <c r="B327" s="435"/>
      <c r="C327" s="152"/>
      <c r="D327" s="153"/>
      <c r="E327" s="153"/>
      <c r="F327" s="423"/>
      <c r="G327" s="423"/>
      <c r="H327" s="423"/>
      <c r="I327" s="423"/>
      <c r="J327" s="423"/>
      <c r="K327" s="423"/>
      <c r="L327" s="423"/>
      <c r="M327" s="423"/>
      <c r="N327" s="154"/>
      <c r="O327" s="154"/>
      <c r="P327" s="424"/>
      <c r="Q327" s="425"/>
      <c r="R327" s="3" t="str">
        <f t="shared" si="25"/>
        <v>Установка дугогасящих реакторов.</v>
      </c>
      <c r="S327" s="3" t="s">
        <v>50</v>
      </c>
    </row>
    <row r="328" spans="1:19" ht="22.5" customHeight="1" x14ac:dyDescent="0.25">
      <c r="A328" s="82" t="s">
        <v>11</v>
      </c>
      <c r="B328" s="435"/>
      <c r="C328" s="152"/>
      <c r="D328" s="153"/>
      <c r="E328" s="153"/>
      <c r="F328" s="423"/>
      <c r="G328" s="423"/>
      <c r="H328" s="423"/>
      <c r="I328" s="423"/>
      <c r="J328" s="423"/>
      <c r="K328" s="423"/>
      <c r="L328" s="423"/>
      <c r="M328" s="423"/>
      <c r="N328" s="154"/>
      <c r="O328" s="154"/>
      <c r="P328" s="424"/>
      <c r="Q328" s="425"/>
      <c r="R328" s="3" t="str">
        <f t="shared" si="25"/>
        <v>Установка дугогасящих реакторов.</v>
      </c>
      <c r="S328" s="3" t="s">
        <v>50</v>
      </c>
    </row>
    <row r="329" spans="1:19" ht="22.5" customHeight="1" x14ac:dyDescent="0.25">
      <c r="A329" s="82" t="s">
        <v>11</v>
      </c>
      <c r="B329" s="435"/>
      <c r="C329" s="152"/>
      <c r="D329" s="153"/>
      <c r="E329" s="153"/>
      <c r="F329" s="423"/>
      <c r="G329" s="423"/>
      <c r="H329" s="423"/>
      <c r="I329" s="423"/>
      <c r="J329" s="423"/>
      <c r="K329" s="423"/>
      <c r="L329" s="423"/>
      <c r="M329" s="423"/>
      <c r="N329" s="154"/>
      <c r="O329" s="154"/>
      <c r="P329" s="424"/>
      <c r="Q329" s="425"/>
      <c r="R329" s="3" t="str">
        <f t="shared" si="25"/>
        <v>Установка дугогасящих реакторов.</v>
      </c>
      <c r="S329" s="3" t="s">
        <v>50</v>
      </c>
    </row>
    <row r="330" spans="1:19" ht="22.5" customHeight="1" x14ac:dyDescent="0.25">
      <c r="A330" s="82" t="s">
        <v>11</v>
      </c>
      <c r="B330" s="435"/>
      <c r="C330" s="152"/>
      <c r="D330" s="153"/>
      <c r="E330" s="153"/>
      <c r="F330" s="423"/>
      <c r="G330" s="423"/>
      <c r="H330" s="423"/>
      <c r="I330" s="423"/>
      <c r="J330" s="423"/>
      <c r="K330" s="423"/>
      <c r="L330" s="423"/>
      <c r="M330" s="423"/>
      <c r="N330" s="154"/>
      <c r="O330" s="154"/>
      <c r="P330" s="424"/>
      <c r="Q330" s="425"/>
      <c r="R330" s="3" t="str">
        <f t="shared" si="25"/>
        <v>Установка дугогасящих реакторов.</v>
      </c>
      <c r="S330" s="3" t="s">
        <v>50</v>
      </c>
    </row>
    <row r="331" spans="1:19" ht="22.5" customHeight="1" x14ac:dyDescent="0.25">
      <c r="A331" s="82" t="s">
        <v>11</v>
      </c>
      <c r="B331" s="435"/>
      <c r="C331" s="152"/>
      <c r="D331" s="153"/>
      <c r="E331" s="153"/>
      <c r="F331" s="423"/>
      <c r="G331" s="423"/>
      <c r="H331" s="423"/>
      <c r="I331" s="423"/>
      <c r="J331" s="423"/>
      <c r="K331" s="423"/>
      <c r="L331" s="423"/>
      <c r="M331" s="423"/>
      <c r="N331" s="154"/>
      <c r="O331" s="154"/>
      <c r="P331" s="424"/>
      <c r="Q331" s="425"/>
      <c r="R331" s="3" t="str">
        <f t="shared" si="25"/>
        <v>Установка дугогасящих реакторов.</v>
      </c>
      <c r="S331" s="3" t="s">
        <v>50</v>
      </c>
    </row>
    <row r="332" spans="1:19" ht="22.5" customHeight="1" x14ac:dyDescent="0.25">
      <c r="A332" s="82" t="s">
        <v>11</v>
      </c>
      <c r="B332" s="435"/>
      <c r="C332" s="152"/>
      <c r="D332" s="153"/>
      <c r="E332" s="153"/>
      <c r="F332" s="423"/>
      <c r="G332" s="423"/>
      <c r="H332" s="423"/>
      <c r="I332" s="423"/>
      <c r="J332" s="423"/>
      <c r="K332" s="423"/>
      <c r="L332" s="423"/>
      <c r="M332" s="423"/>
      <c r="N332" s="154"/>
      <c r="O332" s="154"/>
      <c r="P332" s="424"/>
      <c r="Q332" s="425"/>
      <c r="R332" s="3" t="str">
        <f t="shared" si="25"/>
        <v>Установка дугогасящих реакторов.</v>
      </c>
      <c r="S332" s="3" t="s">
        <v>50</v>
      </c>
    </row>
    <row r="333" spans="1:19" ht="22.5" customHeight="1" x14ac:dyDescent="0.25">
      <c r="A333" s="82" t="s">
        <v>11</v>
      </c>
      <c r="B333" s="435"/>
      <c r="C333" s="152"/>
      <c r="D333" s="153"/>
      <c r="E333" s="153"/>
      <c r="F333" s="423"/>
      <c r="G333" s="423"/>
      <c r="H333" s="423"/>
      <c r="I333" s="423"/>
      <c r="J333" s="423"/>
      <c r="K333" s="423"/>
      <c r="L333" s="423"/>
      <c r="M333" s="423"/>
      <c r="N333" s="154"/>
      <c r="O333" s="154"/>
      <c r="P333" s="424"/>
      <c r="Q333" s="425"/>
      <c r="R333" s="3" t="str">
        <f t="shared" si="25"/>
        <v>Установка дугогасящих реакторов.</v>
      </c>
      <c r="S333" s="3" t="s">
        <v>50</v>
      </c>
    </row>
    <row r="334" spans="1:19" ht="22.5" customHeight="1" x14ac:dyDescent="0.25">
      <c r="A334" s="82" t="s">
        <v>11</v>
      </c>
      <c r="B334" s="435"/>
      <c r="C334" s="152"/>
      <c r="D334" s="153"/>
      <c r="E334" s="153"/>
      <c r="F334" s="423"/>
      <c r="G334" s="423"/>
      <c r="H334" s="423"/>
      <c r="I334" s="423"/>
      <c r="J334" s="423"/>
      <c r="K334" s="423"/>
      <c r="L334" s="423"/>
      <c r="M334" s="423"/>
      <c r="N334" s="154"/>
      <c r="O334" s="154"/>
      <c r="P334" s="424"/>
      <c r="Q334" s="425"/>
      <c r="R334" s="3" t="str">
        <f t="shared" si="25"/>
        <v>Установка дугогасящих реакторов.</v>
      </c>
      <c r="S334" s="3" t="s">
        <v>50</v>
      </c>
    </row>
    <row r="335" spans="1:19" ht="22.5" customHeight="1" thickBot="1" x14ac:dyDescent="0.3">
      <c r="A335" s="82" t="s">
        <v>11</v>
      </c>
      <c r="B335" s="435"/>
      <c r="C335" s="155"/>
      <c r="D335" s="156"/>
      <c r="E335" s="156"/>
      <c r="F335" s="426"/>
      <c r="G335" s="426"/>
      <c r="H335" s="426"/>
      <c r="I335" s="426"/>
      <c r="J335" s="426"/>
      <c r="K335" s="426"/>
      <c r="L335" s="426"/>
      <c r="M335" s="426"/>
      <c r="N335" s="157"/>
      <c r="O335" s="157"/>
      <c r="P335" s="427"/>
      <c r="Q335" s="428"/>
      <c r="R335" s="3" t="str">
        <f t="shared" si="25"/>
        <v>Установка дугогасящих реакторов.</v>
      </c>
      <c r="S335" s="3" t="s">
        <v>50</v>
      </c>
    </row>
    <row r="336" spans="1:19" ht="13.5" customHeight="1" thickBot="1" x14ac:dyDescent="0.3">
      <c r="B336" s="29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139"/>
      <c r="P336" s="30"/>
      <c r="Q336" s="31"/>
      <c r="S336" s="3" t="s">
        <v>50</v>
      </c>
    </row>
    <row r="337" spans="2:19" s="4" customFormat="1" ht="13.5" customHeight="1" thickBot="1" x14ac:dyDescent="0.3">
      <c r="B337" s="140"/>
      <c r="C337" s="141"/>
      <c r="D337" s="141"/>
      <c r="E337" s="141"/>
      <c r="F337" s="141"/>
      <c r="G337" s="146"/>
      <c r="H337" s="146"/>
      <c r="I337" s="146"/>
      <c r="J337" s="146"/>
      <c r="K337" s="146"/>
      <c r="L337" s="146"/>
      <c r="M337" s="429" t="str">
        <f>Содержание!$AJ$29</f>
        <v>29-КМЧ-2015-027-ЭП.С</v>
      </c>
      <c r="N337" s="429"/>
      <c r="O337" s="429"/>
      <c r="P337" s="429"/>
      <c r="Q337" s="145" t="s">
        <v>18</v>
      </c>
      <c r="S337" s="3" t="s">
        <v>50</v>
      </c>
    </row>
    <row r="338" spans="2:19" s="4" customFormat="1" ht="13.5" customHeight="1" x14ac:dyDescent="0.25">
      <c r="B338" s="140"/>
      <c r="C338" s="141"/>
      <c r="D338" s="141"/>
      <c r="E338" s="141"/>
      <c r="F338" s="141"/>
      <c r="G338" s="147"/>
      <c r="H338" s="147"/>
      <c r="I338" s="147"/>
      <c r="J338" s="147"/>
      <c r="K338" s="147"/>
      <c r="L338" s="147"/>
      <c r="M338" s="430"/>
      <c r="N338" s="430"/>
      <c r="O338" s="430"/>
      <c r="P338" s="430"/>
      <c r="Q338" s="432">
        <f t="shared" ref="Q338" si="26">Q314+1</f>
        <v>16</v>
      </c>
      <c r="S338" s="3" t="s">
        <v>50</v>
      </c>
    </row>
    <row r="339" spans="2:19" s="4" customFormat="1" ht="13.5" customHeight="1" thickBot="1" x14ac:dyDescent="0.3">
      <c r="B339" s="137"/>
      <c r="C339" s="138"/>
      <c r="D339" s="138"/>
      <c r="E339" s="138"/>
      <c r="F339" s="138"/>
      <c r="G339" s="148" t="s">
        <v>25</v>
      </c>
      <c r="H339" s="158" t="s">
        <v>24</v>
      </c>
      <c r="I339" s="148" t="s">
        <v>18</v>
      </c>
      <c r="J339" s="148" t="s">
        <v>23</v>
      </c>
      <c r="K339" s="148" t="s">
        <v>22</v>
      </c>
      <c r="L339" s="148" t="s">
        <v>21</v>
      </c>
      <c r="M339" s="431"/>
      <c r="N339" s="431"/>
      <c r="O339" s="431"/>
      <c r="P339" s="431"/>
      <c r="Q339" s="433"/>
      <c r="S339" s="3" t="s">
        <v>50</v>
      </c>
    </row>
  </sheetData>
  <mergeCells count="609">
    <mergeCell ref="F95:M95"/>
    <mergeCell ref="P95:Q95"/>
    <mergeCell ref="M97:P99"/>
    <mergeCell ref="Q98:Q99"/>
    <mergeCell ref="F92:M92"/>
    <mergeCell ref="P92:Q92"/>
    <mergeCell ref="F93:M93"/>
    <mergeCell ref="P93:Q93"/>
    <mergeCell ref="F94:M94"/>
    <mergeCell ref="P94:Q94"/>
    <mergeCell ref="P90:Q90"/>
    <mergeCell ref="F91:M91"/>
    <mergeCell ref="P91:Q91"/>
    <mergeCell ref="F86:M86"/>
    <mergeCell ref="P86:Q86"/>
    <mergeCell ref="F87:M87"/>
    <mergeCell ref="P87:Q87"/>
    <mergeCell ref="F88:M88"/>
    <mergeCell ref="P88:Q88"/>
    <mergeCell ref="P83:Q83"/>
    <mergeCell ref="F84:M84"/>
    <mergeCell ref="P84:Q84"/>
    <mergeCell ref="F85:M85"/>
    <mergeCell ref="P85:Q85"/>
    <mergeCell ref="B76:B95"/>
    <mergeCell ref="F76:M76"/>
    <mergeCell ref="P76:Q76"/>
    <mergeCell ref="F77:M77"/>
    <mergeCell ref="P77:Q77"/>
    <mergeCell ref="F78:M78"/>
    <mergeCell ref="P78:Q78"/>
    <mergeCell ref="F79:M79"/>
    <mergeCell ref="P79:Q79"/>
    <mergeCell ref="F80:M80"/>
    <mergeCell ref="P80:Q80"/>
    <mergeCell ref="F81:M81"/>
    <mergeCell ref="P81:Q81"/>
    <mergeCell ref="F82:M82"/>
    <mergeCell ref="P82:Q82"/>
    <mergeCell ref="F83:M83"/>
    <mergeCell ref="F89:M89"/>
    <mergeCell ref="P89:Q89"/>
    <mergeCell ref="F90:M90"/>
    <mergeCell ref="F71:M71"/>
    <mergeCell ref="P71:Q71"/>
    <mergeCell ref="M73:P75"/>
    <mergeCell ref="Q74:Q75"/>
    <mergeCell ref="F68:M68"/>
    <mergeCell ref="P68:Q68"/>
    <mergeCell ref="F69:M69"/>
    <mergeCell ref="P69:Q69"/>
    <mergeCell ref="F70:M70"/>
    <mergeCell ref="P70:Q70"/>
    <mergeCell ref="P66:Q66"/>
    <mergeCell ref="F67:M67"/>
    <mergeCell ref="P67:Q67"/>
    <mergeCell ref="F62:M62"/>
    <mergeCell ref="P62:Q62"/>
    <mergeCell ref="F63:M63"/>
    <mergeCell ref="P63:Q63"/>
    <mergeCell ref="F64:M64"/>
    <mergeCell ref="P64:Q64"/>
    <mergeCell ref="P59:Q59"/>
    <mergeCell ref="F60:M60"/>
    <mergeCell ref="P60:Q60"/>
    <mergeCell ref="F61:M61"/>
    <mergeCell ref="P61:Q61"/>
    <mergeCell ref="B52:B71"/>
    <mergeCell ref="F52:M52"/>
    <mergeCell ref="P52:Q52"/>
    <mergeCell ref="F53:M53"/>
    <mergeCell ref="P53:Q53"/>
    <mergeCell ref="F54:M54"/>
    <mergeCell ref="P54:Q54"/>
    <mergeCell ref="F55:M55"/>
    <mergeCell ref="P55:Q55"/>
    <mergeCell ref="F56:M56"/>
    <mergeCell ref="P56:Q56"/>
    <mergeCell ref="F57:M57"/>
    <mergeCell ref="P57:Q57"/>
    <mergeCell ref="F58:M58"/>
    <mergeCell ref="P58:Q58"/>
    <mergeCell ref="F59:M59"/>
    <mergeCell ref="F65:M65"/>
    <mergeCell ref="P65:Q65"/>
    <mergeCell ref="F66:M66"/>
    <mergeCell ref="P41:Q41"/>
    <mergeCell ref="F42:M42"/>
    <mergeCell ref="P42:Q42"/>
    <mergeCell ref="F43:M43"/>
    <mergeCell ref="P43:Q43"/>
    <mergeCell ref="P47:Q47"/>
    <mergeCell ref="M49:P51"/>
    <mergeCell ref="Q50:Q51"/>
    <mergeCell ref="P44:Q44"/>
    <mergeCell ref="F45:M45"/>
    <mergeCell ref="P45:Q45"/>
    <mergeCell ref="F46:M46"/>
    <mergeCell ref="P46:Q46"/>
    <mergeCell ref="P40:Q40"/>
    <mergeCell ref="P35:Q35"/>
    <mergeCell ref="F36:M36"/>
    <mergeCell ref="P36:Q36"/>
    <mergeCell ref="F37:M37"/>
    <mergeCell ref="P37:Q37"/>
    <mergeCell ref="P34:Q34"/>
    <mergeCell ref="F35:M35"/>
    <mergeCell ref="F38:M38"/>
    <mergeCell ref="P38:Q38"/>
    <mergeCell ref="F39:M39"/>
    <mergeCell ref="P39:Q39"/>
    <mergeCell ref="P30:Q30"/>
    <mergeCell ref="P31:Q31"/>
    <mergeCell ref="F32:M32"/>
    <mergeCell ref="P32:Q32"/>
    <mergeCell ref="F33:M33"/>
    <mergeCell ref="P33:Q33"/>
    <mergeCell ref="F6:M6"/>
    <mergeCell ref="F8:M8"/>
    <mergeCell ref="F9:M9"/>
    <mergeCell ref="P28:Q28"/>
    <mergeCell ref="F29:M29"/>
    <mergeCell ref="P29:Q29"/>
    <mergeCell ref="P14:Q14"/>
    <mergeCell ref="P15:Q15"/>
    <mergeCell ref="P17:Q17"/>
    <mergeCell ref="P16:Q16"/>
    <mergeCell ref="F12:M12"/>
    <mergeCell ref="F15:M15"/>
    <mergeCell ref="Q26:Q27"/>
    <mergeCell ref="F22:M22"/>
    <mergeCell ref="P23:Q23"/>
    <mergeCell ref="P19:Q19"/>
    <mergeCell ref="P20:Q20"/>
    <mergeCell ref="M25:P27"/>
    <mergeCell ref="B28:B47"/>
    <mergeCell ref="F28:M28"/>
    <mergeCell ref="F31:M31"/>
    <mergeCell ref="F34:M34"/>
    <mergeCell ref="F40:M40"/>
    <mergeCell ref="F44:M44"/>
    <mergeCell ref="F41:M41"/>
    <mergeCell ref="F47:M47"/>
    <mergeCell ref="F30:M30"/>
    <mergeCell ref="P9:Q9"/>
    <mergeCell ref="P10:Q10"/>
    <mergeCell ref="F17:M17"/>
    <mergeCell ref="F10:M10"/>
    <mergeCell ref="P11:Q11"/>
    <mergeCell ref="P12:Q12"/>
    <mergeCell ref="P13:Q13"/>
    <mergeCell ref="P4:Q4"/>
    <mergeCell ref="P5:Q5"/>
    <mergeCell ref="P6:Q6"/>
    <mergeCell ref="P7:Q7"/>
    <mergeCell ref="A1:A2"/>
    <mergeCell ref="D1:E1"/>
    <mergeCell ref="F7:M7"/>
    <mergeCell ref="O1:O2"/>
    <mergeCell ref="P1:Q2"/>
    <mergeCell ref="B1:B2"/>
    <mergeCell ref="C1:C2"/>
    <mergeCell ref="B4:B23"/>
    <mergeCell ref="F19:M19"/>
    <mergeCell ref="F20:M20"/>
    <mergeCell ref="F4:M4"/>
    <mergeCell ref="F5:M5"/>
    <mergeCell ref="P22:Q22"/>
    <mergeCell ref="F23:M23"/>
    <mergeCell ref="P21:Q21"/>
    <mergeCell ref="F21:M21"/>
    <mergeCell ref="F1:N2"/>
    <mergeCell ref="F11:M11"/>
    <mergeCell ref="F18:M18"/>
    <mergeCell ref="P8:Q8"/>
    <mergeCell ref="F16:M16"/>
    <mergeCell ref="F13:M13"/>
    <mergeCell ref="F14:M14"/>
    <mergeCell ref="P18:Q18"/>
    <mergeCell ref="B100:B119"/>
    <mergeCell ref="F100:M100"/>
    <mergeCell ref="P100:Q100"/>
    <mergeCell ref="F101:M101"/>
    <mergeCell ref="P101:Q101"/>
    <mergeCell ref="F102:M102"/>
    <mergeCell ref="P102:Q102"/>
    <mergeCell ref="F103:M103"/>
    <mergeCell ref="P103:Q103"/>
    <mergeCell ref="F104:M104"/>
    <mergeCell ref="P104:Q104"/>
    <mergeCell ref="F105:M105"/>
    <mergeCell ref="P105:Q105"/>
    <mergeCell ref="F106:M106"/>
    <mergeCell ref="P106:Q106"/>
    <mergeCell ref="F107:M107"/>
    <mergeCell ref="P107:Q107"/>
    <mergeCell ref="F108:M108"/>
    <mergeCell ref="P108:Q108"/>
    <mergeCell ref="F109:M109"/>
    <mergeCell ref="P109:Q109"/>
    <mergeCell ref="F110:M110"/>
    <mergeCell ref="P110:Q110"/>
    <mergeCell ref="F111:M111"/>
    <mergeCell ref="P111:Q111"/>
    <mergeCell ref="F112:M112"/>
    <mergeCell ref="P112:Q112"/>
    <mergeCell ref="F113:M113"/>
    <mergeCell ref="P113:Q113"/>
    <mergeCell ref="F114:M114"/>
    <mergeCell ref="P114:Q114"/>
    <mergeCell ref="F115:M115"/>
    <mergeCell ref="P115:Q115"/>
    <mergeCell ref="F116:M116"/>
    <mergeCell ref="P116:Q116"/>
    <mergeCell ref="F117:M117"/>
    <mergeCell ref="P117:Q117"/>
    <mergeCell ref="F118:M118"/>
    <mergeCell ref="P118:Q118"/>
    <mergeCell ref="F119:M119"/>
    <mergeCell ref="P119:Q119"/>
    <mergeCell ref="M121:P123"/>
    <mergeCell ref="Q122:Q123"/>
    <mergeCell ref="B124:B143"/>
    <mergeCell ref="F124:M124"/>
    <mergeCell ref="P124:Q124"/>
    <mergeCell ref="F125:M125"/>
    <mergeCell ref="P125:Q125"/>
    <mergeCell ref="F126:M126"/>
    <mergeCell ref="P126:Q126"/>
    <mergeCell ref="F127:M127"/>
    <mergeCell ref="P127:Q127"/>
    <mergeCell ref="F128:M128"/>
    <mergeCell ref="P128:Q128"/>
    <mergeCell ref="F129:M129"/>
    <mergeCell ref="P129:Q129"/>
    <mergeCell ref="F130:M130"/>
    <mergeCell ref="P130:Q130"/>
    <mergeCell ref="F131:M131"/>
    <mergeCell ref="P131:Q131"/>
    <mergeCell ref="F132:M132"/>
    <mergeCell ref="P132:Q132"/>
    <mergeCell ref="F133:M133"/>
    <mergeCell ref="P133:Q133"/>
    <mergeCell ref="F134:M134"/>
    <mergeCell ref="P134:Q134"/>
    <mergeCell ref="F135:M135"/>
    <mergeCell ref="P135:Q135"/>
    <mergeCell ref="F136:M136"/>
    <mergeCell ref="P136:Q136"/>
    <mergeCell ref="F137:M137"/>
    <mergeCell ref="P137:Q137"/>
    <mergeCell ref="F138:M138"/>
    <mergeCell ref="P138:Q138"/>
    <mergeCell ref="F139:M139"/>
    <mergeCell ref="P139:Q139"/>
    <mergeCell ref="F140:M140"/>
    <mergeCell ref="P140:Q140"/>
    <mergeCell ref="F141:M141"/>
    <mergeCell ref="P141:Q141"/>
    <mergeCell ref="F142:M142"/>
    <mergeCell ref="P142:Q142"/>
    <mergeCell ref="F143:M143"/>
    <mergeCell ref="P143:Q143"/>
    <mergeCell ref="M145:P147"/>
    <mergeCell ref="Q146:Q147"/>
    <mergeCell ref="B148:B167"/>
    <mergeCell ref="F148:M148"/>
    <mergeCell ref="P148:Q148"/>
    <mergeCell ref="F149:M149"/>
    <mergeCell ref="P149:Q149"/>
    <mergeCell ref="F150:M150"/>
    <mergeCell ref="P150:Q150"/>
    <mergeCell ref="F151:M151"/>
    <mergeCell ref="P151:Q151"/>
    <mergeCell ref="F152:M152"/>
    <mergeCell ref="P152:Q152"/>
    <mergeCell ref="F153:M153"/>
    <mergeCell ref="P153:Q153"/>
    <mergeCell ref="F154:M154"/>
    <mergeCell ref="P154:Q154"/>
    <mergeCell ref="F155:M155"/>
    <mergeCell ref="P155:Q155"/>
    <mergeCell ref="F156:M156"/>
    <mergeCell ref="P156:Q156"/>
    <mergeCell ref="F157:M157"/>
    <mergeCell ref="P157:Q157"/>
    <mergeCell ref="F158:M158"/>
    <mergeCell ref="P158:Q158"/>
    <mergeCell ref="F159:M159"/>
    <mergeCell ref="P159:Q159"/>
    <mergeCell ref="F160:M160"/>
    <mergeCell ref="P160:Q160"/>
    <mergeCell ref="F161:M161"/>
    <mergeCell ref="P161:Q161"/>
    <mergeCell ref="F162:M162"/>
    <mergeCell ref="P162:Q162"/>
    <mergeCell ref="F163:M163"/>
    <mergeCell ref="P163:Q163"/>
    <mergeCell ref="F164:M164"/>
    <mergeCell ref="P164:Q164"/>
    <mergeCell ref="F165:M165"/>
    <mergeCell ref="P165:Q165"/>
    <mergeCell ref="F166:M166"/>
    <mergeCell ref="P166:Q166"/>
    <mergeCell ref="F167:M167"/>
    <mergeCell ref="P167:Q167"/>
    <mergeCell ref="M169:P171"/>
    <mergeCell ref="Q170:Q171"/>
    <mergeCell ref="B172:B191"/>
    <mergeCell ref="F172:M172"/>
    <mergeCell ref="P172:Q172"/>
    <mergeCell ref="F173:M173"/>
    <mergeCell ref="P173:Q173"/>
    <mergeCell ref="F174:M174"/>
    <mergeCell ref="P174:Q174"/>
    <mergeCell ref="F175:M175"/>
    <mergeCell ref="P175:Q175"/>
    <mergeCell ref="F176:M176"/>
    <mergeCell ref="P176:Q176"/>
    <mergeCell ref="F177:M177"/>
    <mergeCell ref="P177:Q177"/>
    <mergeCell ref="F178:M178"/>
    <mergeCell ref="P178:Q178"/>
    <mergeCell ref="F179:M179"/>
    <mergeCell ref="P179:Q179"/>
    <mergeCell ref="F180:M180"/>
    <mergeCell ref="P180:Q180"/>
    <mergeCell ref="F181:M181"/>
    <mergeCell ref="P181:Q181"/>
    <mergeCell ref="F182:M182"/>
    <mergeCell ref="P182:Q182"/>
    <mergeCell ref="F183:M183"/>
    <mergeCell ref="P183:Q183"/>
    <mergeCell ref="F184:M184"/>
    <mergeCell ref="P184:Q184"/>
    <mergeCell ref="F185:M185"/>
    <mergeCell ref="P185:Q185"/>
    <mergeCell ref="F186:M186"/>
    <mergeCell ref="P186:Q186"/>
    <mergeCell ref="F187:M187"/>
    <mergeCell ref="P187:Q187"/>
    <mergeCell ref="F188:M188"/>
    <mergeCell ref="P188:Q188"/>
    <mergeCell ref="F189:M189"/>
    <mergeCell ref="P189:Q189"/>
    <mergeCell ref="F190:M190"/>
    <mergeCell ref="P190:Q190"/>
    <mergeCell ref="F191:M191"/>
    <mergeCell ref="P191:Q191"/>
    <mergeCell ref="M193:P195"/>
    <mergeCell ref="Q194:Q195"/>
    <mergeCell ref="B196:B215"/>
    <mergeCell ref="F196:M196"/>
    <mergeCell ref="P196:Q196"/>
    <mergeCell ref="F197:M197"/>
    <mergeCell ref="P197:Q197"/>
    <mergeCell ref="F198:M198"/>
    <mergeCell ref="P198:Q198"/>
    <mergeCell ref="F199:M199"/>
    <mergeCell ref="P199:Q199"/>
    <mergeCell ref="F200:M200"/>
    <mergeCell ref="P200:Q200"/>
    <mergeCell ref="F201:M201"/>
    <mergeCell ref="P201:Q201"/>
    <mergeCell ref="F202:M202"/>
    <mergeCell ref="P202:Q202"/>
    <mergeCell ref="F203:M203"/>
    <mergeCell ref="P203:Q203"/>
    <mergeCell ref="F204:M204"/>
    <mergeCell ref="P204:Q204"/>
    <mergeCell ref="F205:M205"/>
    <mergeCell ref="P205:Q205"/>
    <mergeCell ref="F206:M206"/>
    <mergeCell ref="P206:Q206"/>
    <mergeCell ref="F207:M207"/>
    <mergeCell ref="P207:Q207"/>
    <mergeCell ref="F208:M208"/>
    <mergeCell ref="P208:Q208"/>
    <mergeCell ref="F209:M209"/>
    <mergeCell ref="P209:Q209"/>
    <mergeCell ref="F210:M210"/>
    <mergeCell ref="P210:Q210"/>
    <mergeCell ref="F211:M211"/>
    <mergeCell ref="P211:Q211"/>
    <mergeCell ref="F212:M212"/>
    <mergeCell ref="P212:Q212"/>
    <mergeCell ref="F213:M213"/>
    <mergeCell ref="P213:Q213"/>
    <mergeCell ref="F214:M214"/>
    <mergeCell ref="P214:Q214"/>
    <mergeCell ref="F215:M215"/>
    <mergeCell ref="P215:Q215"/>
    <mergeCell ref="M217:P219"/>
    <mergeCell ref="Q218:Q219"/>
    <mergeCell ref="B220:B239"/>
    <mergeCell ref="F220:M220"/>
    <mergeCell ref="P220:Q220"/>
    <mergeCell ref="F221:M221"/>
    <mergeCell ref="P221:Q221"/>
    <mergeCell ref="F222:M222"/>
    <mergeCell ref="P222:Q222"/>
    <mergeCell ref="F223:M223"/>
    <mergeCell ref="P223:Q223"/>
    <mergeCell ref="F224:M224"/>
    <mergeCell ref="P224:Q224"/>
    <mergeCell ref="F225:M225"/>
    <mergeCell ref="P225:Q225"/>
    <mergeCell ref="F226:M226"/>
    <mergeCell ref="P226:Q226"/>
    <mergeCell ref="F227:M227"/>
    <mergeCell ref="P227:Q227"/>
    <mergeCell ref="F228:M228"/>
    <mergeCell ref="P228:Q228"/>
    <mergeCell ref="F229:M229"/>
    <mergeCell ref="P229:Q229"/>
    <mergeCell ref="F230:M230"/>
    <mergeCell ref="P230:Q230"/>
    <mergeCell ref="F231:M231"/>
    <mergeCell ref="P231:Q231"/>
    <mergeCell ref="F232:M232"/>
    <mergeCell ref="P232:Q232"/>
    <mergeCell ref="F233:M233"/>
    <mergeCell ref="P233:Q233"/>
    <mergeCell ref="F234:M234"/>
    <mergeCell ref="P234:Q234"/>
    <mergeCell ref="F235:M235"/>
    <mergeCell ref="P235:Q235"/>
    <mergeCell ref="F236:M236"/>
    <mergeCell ref="P236:Q236"/>
    <mergeCell ref="F237:M237"/>
    <mergeCell ref="P237:Q237"/>
    <mergeCell ref="F238:M238"/>
    <mergeCell ref="P238:Q238"/>
    <mergeCell ref="F239:M239"/>
    <mergeCell ref="P239:Q239"/>
    <mergeCell ref="M241:P243"/>
    <mergeCell ref="Q242:Q243"/>
    <mergeCell ref="B244:B263"/>
    <mergeCell ref="F244:M244"/>
    <mergeCell ref="P244:Q244"/>
    <mergeCell ref="F245:M245"/>
    <mergeCell ref="P245:Q245"/>
    <mergeCell ref="F246:M246"/>
    <mergeCell ref="P246:Q246"/>
    <mergeCell ref="F247:M247"/>
    <mergeCell ref="P247:Q247"/>
    <mergeCell ref="F248:M248"/>
    <mergeCell ref="P248:Q248"/>
    <mergeCell ref="F249:M249"/>
    <mergeCell ref="P249:Q249"/>
    <mergeCell ref="F250:M250"/>
    <mergeCell ref="P250:Q250"/>
    <mergeCell ref="F251:M251"/>
    <mergeCell ref="P251:Q251"/>
    <mergeCell ref="F252:M252"/>
    <mergeCell ref="P252:Q252"/>
    <mergeCell ref="F253:M253"/>
    <mergeCell ref="P253:Q253"/>
    <mergeCell ref="F254:M254"/>
    <mergeCell ref="P254:Q254"/>
    <mergeCell ref="F255:M255"/>
    <mergeCell ref="P255:Q255"/>
    <mergeCell ref="F256:M256"/>
    <mergeCell ref="P256:Q256"/>
    <mergeCell ref="F257:M257"/>
    <mergeCell ref="P257:Q257"/>
    <mergeCell ref="F258:M258"/>
    <mergeCell ref="P258:Q258"/>
    <mergeCell ref="F259:M259"/>
    <mergeCell ref="P259:Q259"/>
    <mergeCell ref="F260:M260"/>
    <mergeCell ref="P260:Q260"/>
    <mergeCell ref="F261:M261"/>
    <mergeCell ref="P261:Q261"/>
    <mergeCell ref="F262:M262"/>
    <mergeCell ref="P262:Q262"/>
    <mergeCell ref="F263:M263"/>
    <mergeCell ref="P263:Q263"/>
    <mergeCell ref="M265:P267"/>
    <mergeCell ref="Q266:Q267"/>
    <mergeCell ref="B268:B287"/>
    <mergeCell ref="F268:M268"/>
    <mergeCell ref="P268:Q268"/>
    <mergeCell ref="F269:M269"/>
    <mergeCell ref="P269:Q269"/>
    <mergeCell ref="F270:M270"/>
    <mergeCell ref="P270:Q270"/>
    <mergeCell ref="F271:M271"/>
    <mergeCell ref="P271:Q271"/>
    <mergeCell ref="F272:M272"/>
    <mergeCell ref="P272:Q272"/>
    <mergeCell ref="F273:M273"/>
    <mergeCell ref="P273:Q273"/>
    <mergeCell ref="F274:M274"/>
    <mergeCell ref="P274:Q274"/>
    <mergeCell ref="F275:M275"/>
    <mergeCell ref="P275:Q275"/>
    <mergeCell ref="F276:M276"/>
    <mergeCell ref="P276:Q276"/>
    <mergeCell ref="F277:M277"/>
    <mergeCell ref="P277:Q277"/>
    <mergeCell ref="F278:M278"/>
    <mergeCell ref="P278:Q278"/>
    <mergeCell ref="F279:M279"/>
    <mergeCell ref="P279:Q279"/>
    <mergeCell ref="F280:M280"/>
    <mergeCell ref="P280:Q280"/>
    <mergeCell ref="F281:M281"/>
    <mergeCell ref="P281:Q281"/>
    <mergeCell ref="F282:M282"/>
    <mergeCell ref="P282:Q282"/>
    <mergeCell ref="F283:M283"/>
    <mergeCell ref="P283:Q283"/>
    <mergeCell ref="F284:M284"/>
    <mergeCell ref="P284:Q284"/>
    <mergeCell ref="F285:M285"/>
    <mergeCell ref="P285:Q285"/>
    <mergeCell ref="F286:M286"/>
    <mergeCell ref="P286:Q286"/>
    <mergeCell ref="F287:M287"/>
    <mergeCell ref="P287:Q287"/>
    <mergeCell ref="M289:P291"/>
    <mergeCell ref="Q290:Q291"/>
    <mergeCell ref="B292:B311"/>
    <mergeCell ref="F292:M292"/>
    <mergeCell ref="P292:Q292"/>
    <mergeCell ref="F293:M293"/>
    <mergeCell ref="P293:Q293"/>
    <mergeCell ref="F294:M294"/>
    <mergeCell ref="P294:Q294"/>
    <mergeCell ref="F295:M295"/>
    <mergeCell ref="P295:Q295"/>
    <mergeCell ref="F296:M296"/>
    <mergeCell ref="P296:Q296"/>
    <mergeCell ref="F297:M297"/>
    <mergeCell ref="P297:Q297"/>
    <mergeCell ref="F298:M298"/>
    <mergeCell ref="P298:Q298"/>
    <mergeCell ref="F299:M299"/>
    <mergeCell ref="P299:Q299"/>
    <mergeCell ref="F300:M300"/>
    <mergeCell ref="P300:Q300"/>
    <mergeCell ref="F301:M301"/>
    <mergeCell ref="P301:Q301"/>
    <mergeCell ref="F302:M302"/>
    <mergeCell ref="P302:Q302"/>
    <mergeCell ref="F303:M303"/>
    <mergeCell ref="P303:Q303"/>
    <mergeCell ref="F304:M304"/>
    <mergeCell ref="P304:Q304"/>
    <mergeCell ref="F305:M305"/>
    <mergeCell ref="P305:Q305"/>
    <mergeCell ref="F306:M306"/>
    <mergeCell ref="P306:Q306"/>
    <mergeCell ref="F307:M307"/>
    <mergeCell ref="P307:Q307"/>
    <mergeCell ref="F308:M308"/>
    <mergeCell ref="P308:Q308"/>
    <mergeCell ref="F309:M309"/>
    <mergeCell ref="P309:Q309"/>
    <mergeCell ref="F310:M310"/>
    <mergeCell ref="P310:Q310"/>
    <mergeCell ref="F311:M311"/>
    <mergeCell ref="P311:Q311"/>
    <mergeCell ref="M313:P315"/>
    <mergeCell ref="Q314:Q315"/>
    <mergeCell ref="B316:B335"/>
    <mergeCell ref="F316:M316"/>
    <mergeCell ref="P316:Q316"/>
    <mergeCell ref="F317:M317"/>
    <mergeCell ref="P317:Q317"/>
    <mergeCell ref="F318:M318"/>
    <mergeCell ref="P318:Q318"/>
    <mergeCell ref="F319:M319"/>
    <mergeCell ref="P319:Q319"/>
    <mergeCell ref="F320:M320"/>
    <mergeCell ref="P320:Q320"/>
    <mergeCell ref="F321:M321"/>
    <mergeCell ref="P321:Q321"/>
    <mergeCell ref="F322:M322"/>
    <mergeCell ref="P322:Q322"/>
    <mergeCell ref="F323:M323"/>
    <mergeCell ref="P323:Q323"/>
    <mergeCell ref="F324:M324"/>
    <mergeCell ref="P324:Q324"/>
    <mergeCell ref="F325:M325"/>
    <mergeCell ref="P325:Q325"/>
    <mergeCell ref="F326:M326"/>
    <mergeCell ref="P326:Q326"/>
    <mergeCell ref="F327:M327"/>
    <mergeCell ref="P327:Q327"/>
    <mergeCell ref="F328:M328"/>
    <mergeCell ref="P328:Q328"/>
    <mergeCell ref="F329:M329"/>
    <mergeCell ref="P329:Q329"/>
    <mergeCell ref="F330:M330"/>
    <mergeCell ref="P330:Q330"/>
    <mergeCell ref="F331:M331"/>
    <mergeCell ref="P331:Q331"/>
    <mergeCell ref="F332:M332"/>
    <mergeCell ref="P332:Q332"/>
    <mergeCell ref="F333:M333"/>
    <mergeCell ref="P333:Q333"/>
    <mergeCell ref="F334:M334"/>
    <mergeCell ref="P334:Q334"/>
    <mergeCell ref="F335:M335"/>
    <mergeCell ref="P335:Q335"/>
    <mergeCell ref="M337:P339"/>
    <mergeCell ref="Q338:Q339"/>
  </mergeCells>
  <conditionalFormatting sqref="C1:C16 C21:C51 C340:C1048576">
    <cfRule type="duplicateValues" dxfId="40" priority="41"/>
  </conditionalFormatting>
  <conditionalFormatting sqref="C19:C20">
    <cfRule type="duplicateValues" dxfId="39" priority="38"/>
  </conditionalFormatting>
  <conditionalFormatting sqref="C17:C18">
    <cfRule type="duplicateValues" dxfId="38" priority="37"/>
  </conditionalFormatting>
  <conditionalFormatting sqref="C52:C64 C69:C75">
    <cfRule type="duplicateValues" dxfId="37" priority="36"/>
  </conditionalFormatting>
  <conditionalFormatting sqref="C67:C68">
    <cfRule type="duplicateValues" dxfId="36" priority="35"/>
  </conditionalFormatting>
  <conditionalFormatting sqref="C65:C66">
    <cfRule type="duplicateValues" dxfId="35" priority="34"/>
  </conditionalFormatting>
  <conditionalFormatting sqref="C76:C88 C93:C99">
    <cfRule type="duplicateValues" dxfId="34" priority="33"/>
  </conditionalFormatting>
  <conditionalFormatting sqref="C91:C92">
    <cfRule type="duplicateValues" dxfId="33" priority="32"/>
  </conditionalFormatting>
  <conditionalFormatting sqref="C89:C90">
    <cfRule type="duplicateValues" dxfId="32" priority="31"/>
  </conditionalFormatting>
  <conditionalFormatting sqref="C100:C112 C117:C123">
    <cfRule type="duplicateValues" dxfId="31" priority="30"/>
  </conditionalFormatting>
  <conditionalFormatting sqref="C115:C116">
    <cfRule type="duplicateValues" dxfId="30" priority="29"/>
  </conditionalFormatting>
  <conditionalFormatting sqref="C113:C114">
    <cfRule type="duplicateValues" dxfId="29" priority="28"/>
  </conditionalFormatting>
  <conditionalFormatting sqref="C124:C136 C141:C147">
    <cfRule type="duplicateValues" dxfId="28" priority="27"/>
  </conditionalFormatting>
  <conditionalFormatting sqref="C139:C140">
    <cfRule type="duplicateValues" dxfId="27" priority="26"/>
  </conditionalFormatting>
  <conditionalFormatting sqref="C137:C138">
    <cfRule type="duplicateValues" dxfId="26" priority="25"/>
  </conditionalFormatting>
  <conditionalFormatting sqref="C148:C160 C165:C171">
    <cfRule type="duplicateValues" dxfId="25" priority="24"/>
  </conditionalFormatting>
  <conditionalFormatting sqref="C163:C164">
    <cfRule type="duplicateValues" dxfId="24" priority="23"/>
  </conditionalFormatting>
  <conditionalFormatting sqref="C161:C162">
    <cfRule type="duplicateValues" dxfId="23" priority="22"/>
  </conditionalFormatting>
  <conditionalFormatting sqref="C172:C184 C189:C195">
    <cfRule type="duplicateValues" dxfId="22" priority="21"/>
  </conditionalFormatting>
  <conditionalFormatting sqref="C187:C188">
    <cfRule type="duplicateValues" dxfId="21" priority="20"/>
  </conditionalFormatting>
  <conditionalFormatting sqref="C185:C186">
    <cfRule type="duplicateValues" dxfId="20" priority="19"/>
  </conditionalFormatting>
  <conditionalFormatting sqref="C196:C208 C213:C219">
    <cfRule type="duplicateValues" dxfId="19" priority="18"/>
  </conditionalFormatting>
  <conditionalFormatting sqref="C211:C212">
    <cfRule type="duplicateValues" dxfId="18" priority="17"/>
  </conditionalFormatting>
  <conditionalFormatting sqref="C209:C210">
    <cfRule type="duplicateValues" dxfId="17" priority="16"/>
  </conditionalFormatting>
  <conditionalFormatting sqref="C220:C232 C237:C243">
    <cfRule type="duplicateValues" dxfId="16" priority="15"/>
  </conditionalFormatting>
  <conditionalFormatting sqref="C235:C236">
    <cfRule type="duplicateValues" dxfId="15" priority="14"/>
  </conditionalFormatting>
  <conditionalFormatting sqref="C233:C234">
    <cfRule type="duplicateValues" dxfId="14" priority="13"/>
  </conditionalFormatting>
  <conditionalFormatting sqref="C244:C256 C261:C267">
    <cfRule type="duplicateValues" dxfId="13" priority="12"/>
  </conditionalFormatting>
  <conditionalFormatting sqref="C259:C260">
    <cfRule type="duplicateValues" dxfId="12" priority="11"/>
  </conditionalFormatting>
  <conditionalFormatting sqref="C257:C258">
    <cfRule type="duplicateValues" dxfId="11" priority="10"/>
  </conditionalFormatting>
  <conditionalFormatting sqref="C268:C280 C285:C291">
    <cfRule type="duplicateValues" dxfId="10" priority="9"/>
  </conditionalFormatting>
  <conditionalFormatting sqref="C283:C284">
    <cfRule type="duplicateValues" dxfId="9" priority="8"/>
  </conditionalFormatting>
  <conditionalFormatting sqref="C281:C282">
    <cfRule type="duplicateValues" dxfId="8" priority="7"/>
  </conditionalFormatting>
  <conditionalFormatting sqref="C292:C304 C309:C315">
    <cfRule type="duplicateValues" dxfId="7" priority="6"/>
  </conditionalFormatting>
  <conditionalFormatting sqref="C307:C308">
    <cfRule type="duplicateValues" dxfId="6" priority="5"/>
  </conditionalFormatting>
  <conditionalFormatting sqref="C305:C306">
    <cfRule type="duplicateValues" dxfId="5" priority="4"/>
  </conditionalFormatting>
  <conditionalFormatting sqref="C316:C328 C333:C339">
    <cfRule type="duplicateValues" dxfId="4" priority="3"/>
  </conditionalFormatting>
  <conditionalFormatting sqref="C331:C332">
    <cfRule type="duplicateValues" dxfId="3" priority="2"/>
  </conditionalFormatting>
  <conditionalFormatting sqref="C329:C330">
    <cfRule type="duplicateValues" dxfId="2" priority="1"/>
  </conditionalFormatting>
  <dataValidations count="3">
    <dataValidation type="list" allowBlank="1" showInputMessage="1" showErrorMessage="1" sqref="E4:E23 E28:E47 E52:E71 E76:E95 E100:E119 E124:E143 E148:E167 E172:E191 E196:E215 E220:E239 E244:E263 E268:E287 E292:E311 E316:E335">
      <formula1>INDIRECT(A4)</formula1>
    </dataValidation>
    <dataValidation type="list" allowBlank="1" showInputMessage="1" showErrorMessage="1" sqref="D4:D23 D28:D47 D52:D71 D76:D95 D100:D119 D124:D143 D148:D167 D172:D191 D196:D215 D220:D239 D244:D263 D268:D287 D292:D311 D316:D335">
      <formula1>Тип</formula1>
    </dataValidation>
    <dataValidation type="list" allowBlank="1" showInputMessage="1" showErrorMessage="1" sqref="A4:A23 A28:A47 A52:A71 A76:A95 A100:A119 A124:A143 A148:A167 A172:A191 A196:A215 A220:A239 A244:A263 A268:A287 A292:A311 A316:A335">
      <formula1>Жилы</formula1>
    </dataValidation>
  </dataValidations>
  <pageMargins left="0.78740157480314965" right="0.19685039370078741" top="0.19685039370078741" bottom="0.19685039370078741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Создать_Лист_КЖ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Удалить_Лист_КЖ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ЗаменитьИксы">
                <anchor moveWithCells="1" siz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" name="Button 26">
              <controlPr defaultSize="0" print="0" autoFill="0" autoPict="0" macro="[0]!СкрытьОтобразить">
                <anchor moveWithCells="1" sizeWithCells="1">
                  <from>
                    <xdr:col>22</xdr:col>
                    <xdr:colOff>0</xdr:colOff>
                    <xdr:row>0</xdr:row>
                    <xdr:rowOff>0</xdr:rowOff>
                  </from>
                  <to>
                    <xdr:col>24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8" name="Button 27">
              <controlPr defaultSize="0" print="0" autoFill="0" autoPict="0" macro="[0]!Печать_в_PDF">
                <anchor moveWithCells="1" sizeWithCells="1">
                  <from>
                    <xdr:col>22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B2:AA72"/>
  <sheetViews>
    <sheetView topLeftCell="A55" workbookViewId="0">
      <selection activeCell="H27" sqref="H27"/>
    </sheetView>
  </sheetViews>
  <sheetFormatPr defaultRowHeight="15" x14ac:dyDescent="0.25"/>
  <cols>
    <col min="2" max="2" width="58.5703125" bestFit="1" customWidth="1"/>
    <col min="3" max="3" width="15" customWidth="1"/>
    <col min="4" max="4" width="9.7109375" customWidth="1"/>
    <col min="5" max="5" width="5.7109375" customWidth="1"/>
    <col min="6" max="6" width="56.140625" customWidth="1"/>
    <col min="7" max="7" width="5.5703125" customWidth="1"/>
    <col min="8" max="8" width="13.140625" customWidth="1"/>
    <col min="9" max="9" width="4" customWidth="1"/>
    <col min="10" max="10" width="6" customWidth="1"/>
    <col min="11" max="11" width="5" customWidth="1"/>
    <col min="12" max="12" width="4" customWidth="1"/>
    <col min="13" max="13" width="5" customWidth="1"/>
    <col min="14" max="14" width="4" customWidth="1"/>
    <col min="15" max="18" width="5.5703125" customWidth="1"/>
    <col min="19" max="19" width="4" customWidth="1"/>
    <col min="20" max="20" width="5" customWidth="1"/>
    <col min="21" max="21" width="15.42578125" customWidth="1"/>
    <col min="22" max="22" width="4" customWidth="1"/>
    <col min="23" max="23" width="5.5703125" customWidth="1"/>
    <col min="24" max="24" width="6.140625" customWidth="1"/>
    <col min="25" max="25" width="7.5703125" customWidth="1"/>
    <col min="26" max="26" width="11.7109375" customWidth="1"/>
    <col min="27" max="27" width="11.85546875" customWidth="1"/>
    <col min="28" max="28" width="14.28515625" customWidth="1"/>
    <col min="29" max="29" width="9.5703125" customWidth="1"/>
    <col min="30" max="31" width="11.85546875" customWidth="1"/>
    <col min="32" max="36" width="9.140625" customWidth="1"/>
  </cols>
  <sheetData>
    <row r="2" spans="2:27" x14ac:dyDescent="0.25">
      <c r="C2" s="14" t="s">
        <v>41</v>
      </c>
      <c r="F2" s="14" t="s">
        <v>42</v>
      </c>
      <c r="G2" s="14" t="s">
        <v>55</v>
      </c>
    </row>
    <row r="3" spans="2:27" x14ac:dyDescent="0.25">
      <c r="B3" s="14" t="s">
        <v>44</v>
      </c>
      <c r="C3" t="s">
        <v>42</v>
      </c>
      <c r="D3" t="s">
        <v>43</v>
      </c>
      <c r="G3" t="s">
        <v>51</v>
      </c>
      <c r="H3" t="s">
        <v>59</v>
      </c>
      <c r="U3" t="s">
        <v>60</v>
      </c>
      <c r="X3" t="s">
        <v>92</v>
      </c>
      <c r="Y3" t="s">
        <v>93</v>
      </c>
      <c r="Z3" t="s">
        <v>95</v>
      </c>
      <c r="AA3" t="s">
        <v>40</v>
      </c>
    </row>
    <row r="4" spans="2:27" x14ac:dyDescent="0.25">
      <c r="B4" s="17" t="s">
        <v>51</v>
      </c>
      <c r="C4" s="15"/>
      <c r="D4" s="15"/>
      <c r="F4" s="14" t="s">
        <v>44</v>
      </c>
      <c r="G4" t="s">
        <v>51</v>
      </c>
      <c r="H4" t="s">
        <v>200</v>
      </c>
      <c r="I4" t="s">
        <v>190</v>
      </c>
      <c r="J4" t="s">
        <v>240</v>
      </c>
      <c r="K4" t="s">
        <v>210</v>
      </c>
      <c r="L4" t="s">
        <v>188</v>
      </c>
      <c r="M4" t="s">
        <v>198</v>
      </c>
      <c r="N4" t="s">
        <v>193</v>
      </c>
      <c r="O4" t="s">
        <v>242</v>
      </c>
      <c r="P4" t="s">
        <v>243</v>
      </c>
      <c r="Q4" t="s">
        <v>244</v>
      </c>
      <c r="R4" t="s">
        <v>245</v>
      </c>
      <c r="S4" t="s">
        <v>195</v>
      </c>
      <c r="T4" t="s">
        <v>215</v>
      </c>
      <c r="U4" t="s">
        <v>200</v>
      </c>
      <c r="V4" t="s">
        <v>193</v>
      </c>
      <c r="W4" t="s">
        <v>242</v>
      </c>
      <c r="X4" t="s">
        <v>244</v>
      </c>
      <c r="Y4" t="s">
        <v>242</v>
      </c>
      <c r="Z4" t="s">
        <v>237</v>
      </c>
    </row>
    <row r="5" spans="2:27" x14ac:dyDescent="0.25">
      <c r="B5" s="18" t="s">
        <v>51</v>
      </c>
      <c r="C5" s="15"/>
      <c r="D5" s="15"/>
      <c r="F5" s="17" t="s">
        <v>51</v>
      </c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</row>
    <row r="6" spans="2:27" x14ac:dyDescent="0.25">
      <c r="B6" s="17" t="s">
        <v>58</v>
      </c>
      <c r="C6" s="15">
        <v>563</v>
      </c>
      <c r="D6" s="15">
        <v>17</v>
      </c>
      <c r="F6" s="17" t="s">
        <v>58</v>
      </c>
      <c r="G6" s="15"/>
      <c r="H6" s="15">
        <v>23</v>
      </c>
      <c r="I6" s="15">
        <v>380</v>
      </c>
      <c r="J6" s="15"/>
      <c r="K6" s="15"/>
      <c r="L6" s="15"/>
      <c r="M6" s="15"/>
      <c r="N6" s="15"/>
      <c r="O6" s="15"/>
      <c r="P6" s="15"/>
      <c r="Q6" s="15"/>
      <c r="R6" s="15">
        <v>110</v>
      </c>
      <c r="S6" s="15"/>
      <c r="T6" s="15"/>
      <c r="U6" s="15"/>
      <c r="V6" s="15"/>
      <c r="W6" s="15"/>
      <c r="X6" s="15">
        <v>30</v>
      </c>
      <c r="Y6" s="15">
        <v>20</v>
      </c>
      <c r="Z6" s="15"/>
      <c r="AA6" s="15">
        <v>563</v>
      </c>
    </row>
    <row r="7" spans="2:27" x14ac:dyDescent="0.25">
      <c r="B7" s="18" t="s">
        <v>51</v>
      </c>
      <c r="C7" s="15"/>
      <c r="D7" s="15"/>
      <c r="F7" s="17" t="s">
        <v>64</v>
      </c>
      <c r="G7" s="15"/>
      <c r="H7" s="15"/>
      <c r="I7" s="15"/>
      <c r="J7" s="15">
        <v>145</v>
      </c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>
        <v>135</v>
      </c>
      <c r="AA7" s="15">
        <v>280</v>
      </c>
    </row>
    <row r="8" spans="2:27" x14ac:dyDescent="0.25">
      <c r="B8" s="18" t="s">
        <v>59</v>
      </c>
      <c r="C8" s="15">
        <v>513</v>
      </c>
      <c r="D8" s="15">
        <v>9</v>
      </c>
      <c r="F8" s="17" t="s">
        <v>100</v>
      </c>
      <c r="G8" s="15"/>
      <c r="H8" s="15"/>
      <c r="I8" s="15"/>
      <c r="J8" s="15"/>
      <c r="K8" s="15">
        <v>180</v>
      </c>
      <c r="L8" s="15">
        <v>60</v>
      </c>
      <c r="M8" s="15">
        <v>100</v>
      </c>
      <c r="N8" s="15"/>
      <c r="O8" s="15">
        <v>195</v>
      </c>
      <c r="P8" s="15">
        <v>60</v>
      </c>
      <c r="Q8" s="15">
        <v>140</v>
      </c>
      <c r="R8" s="15">
        <v>10</v>
      </c>
      <c r="S8" s="15"/>
      <c r="T8" s="15"/>
      <c r="U8" s="15"/>
      <c r="V8" s="15"/>
      <c r="W8" s="15">
        <v>55</v>
      </c>
      <c r="X8" s="15"/>
      <c r="Y8" s="15"/>
      <c r="Z8" s="15"/>
      <c r="AA8" s="15">
        <v>800</v>
      </c>
    </row>
    <row r="9" spans="2:27" x14ac:dyDescent="0.25">
      <c r="B9" s="19" t="s">
        <v>200</v>
      </c>
      <c r="C9" s="15">
        <v>23</v>
      </c>
      <c r="D9" s="15">
        <v>1</v>
      </c>
      <c r="F9" s="17" t="s">
        <v>135</v>
      </c>
      <c r="G9" s="15"/>
      <c r="H9" s="15">
        <v>84</v>
      </c>
      <c r="I9" s="15"/>
      <c r="J9" s="15"/>
      <c r="K9" s="15"/>
      <c r="L9" s="15"/>
      <c r="M9" s="15"/>
      <c r="N9" s="15"/>
      <c r="O9" s="15">
        <v>658</v>
      </c>
      <c r="P9" s="15">
        <v>170</v>
      </c>
      <c r="Q9" s="15">
        <v>259</v>
      </c>
      <c r="R9" s="15"/>
      <c r="S9" s="15"/>
      <c r="T9" s="15"/>
      <c r="U9" s="15"/>
      <c r="V9" s="15">
        <v>70</v>
      </c>
      <c r="W9" s="15">
        <v>480</v>
      </c>
      <c r="X9" s="15"/>
      <c r="Y9" s="15"/>
      <c r="Z9" s="15"/>
      <c r="AA9" s="15">
        <v>1721</v>
      </c>
    </row>
    <row r="10" spans="2:27" x14ac:dyDescent="0.25">
      <c r="B10" s="19" t="s">
        <v>190</v>
      </c>
      <c r="C10" s="15">
        <v>380</v>
      </c>
      <c r="D10" s="15">
        <v>4</v>
      </c>
      <c r="F10" s="17" t="s">
        <v>246</v>
      </c>
      <c r="G10" s="15"/>
      <c r="H10" s="15">
        <v>1020</v>
      </c>
      <c r="I10" s="15"/>
      <c r="J10" s="15"/>
      <c r="K10" s="15">
        <v>626</v>
      </c>
      <c r="L10" s="15"/>
      <c r="M10" s="15">
        <v>72</v>
      </c>
      <c r="N10" s="15">
        <v>140</v>
      </c>
      <c r="O10" s="15"/>
      <c r="P10" s="15"/>
      <c r="Q10" s="15">
        <v>417</v>
      </c>
      <c r="R10" s="15">
        <v>176</v>
      </c>
      <c r="S10" s="15">
        <v>107</v>
      </c>
      <c r="T10" s="15">
        <v>191</v>
      </c>
      <c r="U10" s="15">
        <v>92</v>
      </c>
      <c r="V10" s="15">
        <v>27</v>
      </c>
      <c r="W10" s="15"/>
      <c r="X10" s="15"/>
      <c r="Y10" s="15"/>
      <c r="Z10" s="15"/>
      <c r="AA10" s="15">
        <v>2868</v>
      </c>
    </row>
    <row r="11" spans="2:27" x14ac:dyDescent="0.25">
      <c r="B11" s="19" t="s">
        <v>245</v>
      </c>
      <c r="C11" s="15">
        <v>110</v>
      </c>
      <c r="D11" s="15">
        <v>4</v>
      </c>
      <c r="F11" s="17" t="s">
        <v>399</v>
      </c>
      <c r="G11" s="15"/>
      <c r="H11" s="15">
        <v>30</v>
      </c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>
        <v>38</v>
      </c>
      <c r="T11" s="15"/>
      <c r="U11" s="15"/>
      <c r="V11" s="15"/>
      <c r="W11" s="15"/>
      <c r="X11" s="15"/>
      <c r="Y11" s="15"/>
      <c r="Z11" s="15"/>
      <c r="AA11" s="15">
        <v>68</v>
      </c>
    </row>
    <row r="12" spans="2:27" x14ac:dyDescent="0.25">
      <c r="B12" s="18" t="s">
        <v>92</v>
      </c>
      <c r="C12" s="15">
        <v>30</v>
      </c>
      <c r="D12" s="15">
        <v>4</v>
      </c>
      <c r="F12" s="17" t="s">
        <v>406</v>
      </c>
      <c r="G12" s="15"/>
      <c r="H12" s="15"/>
      <c r="I12" s="15"/>
      <c r="J12" s="15"/>
      <c r="K12" s="15">
        <v>20</v>
      </c>
      <c r="L12" s="15"/>
      <c r="M12" s="15"/>
      <c r="N12" s="15"/>
      <c r="O12" s="15"/>
      <c r="P12" s="15"/>
      <c r="Q12" s="15"/>
      <c r="R12" s="15">
        <v>62</v>
      </c>
      <c r="S12" s="15"/>
      <c r="T12" s="15"/>
      <c r="U12" s="15"/>
      <c r="V12" s="15"/>
      <c r="W12" s="15"/>
      <c r="X12" s="15"/>
      <c r="Y12" s="15"/>
      <c r="Z12" s="15"/>
      <c r="AA12" s="15">
        <v>82</v>
      </c>
    </row>
    <row r="13" spans="2:27" x14ac:dyDescent="0.25">
      <c r="B13" s="19" t="s">
        <v>244</v>
      </c>
      <c r="C13" s="15">
        <v>30</v>
      </c>
      <c r="D13" s="15">
        <v>4</v>
      </c>
      <c r="F13" s="17" t="s">
        <v>428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>
        <v>95</v>
      </c>
      <c r="AA13" s="15">
        <v>95</v>
      </c>
    </row>
    <row r="14" spans="2:27" x14ac:dyDescent="0.25">
      <c r="B14" s="18" t="s">
        <v>93</v>
      </c>
      <c r="C14" s="15">
        <v>20</v>
      </c>
      <c r="D14" s="15">
        <v>4</v>
      </c>
      <c r="F14" s="17" t="s">
        <v>40</v>
      </c>
      <c r="G14" s="15"/>
      <c r="H14" s="15">
        <v>1157</v>
      </c>
      <c r="I14" s="15">
        <v>380</v>
      </c>
      <c r="J14" s="15">
        <v>145</v>
      </c>
      <c r="K14" s="15">
        <v>826</v>
      </c>
      <c r="L14" s="15">
        <v>60</v>
      </c>
      <c r="M14" s="15">
        <v>172</v>
      </c>
      <c r="N14" s="15">
        <v>140</v>
      </c>
      <c r="O14" s="15">
        <v>853</v>
      </c>
      <c r="P14" s="15">
        <v>230</v>
      </c>
      <c r="Q14" s="15">
        <v>816</v>
      </c>
      <c r="R14" s="15">
        <v>358</v>
      </c>
      <c r="S14" s="15">
        <v>145</v>
      </c>
      <c r="T14" s="15">
        <v>191</v>
      </c>
      <c r="U14" s="15">
        <v>92</v>
      </c>
      <c r="V14" s="15">
        <v>97</v>
      </c>
      <c r="W14" s="15">
        <v>535</v>
      </c>
      <c r="X14" s="15">
        <v>30</v>
      </c>
      <c r="Y14" s="15">
        <v>20</v>
      </c>
      <c r="Z14" s="15">
        <v>230</v>
      </c>
      <c r="AA14" s="15">
        <v>6477</v>
      </c>
    </row>
    <row r="15" spans="2:27" x14ac:dyDescent="0.25">
      <c r="B15" s="19" t="s">
        <v>242</v>
      </c>
      <c r="C15" s="15">
        <v>20</v>
      </c>
      <c r="D15" s="15">
        <v>4</v>
      </c>
    </row>
    <row r="16" spans="2:27" x14ac:dyDescent="0.25">
      <c r="B16" s="17" t="s">
        <v>64</v>
      </c>
      <c r="C16" s="15">
        <v>280</v>
      </c>
      <c r="D16" s="15">
        <v>4</v>
      </c>
    </row>
    <row r="17" spans="2:4" x14ac:dyDescent="0.25">
      <c r="B17" s="18" t="s">
        <v>51</v>
      </c>
      <c r="C17" s="15"/>
      <c r="D17" s="15"/>
    </row>
    <row r="18" spans="2:4" x14ac:dyDescent="0.25">
      <c r="B18" s="18" t="s">
        <v>59</v>
      </c>
      <c r="C18" s="15">
        <v>145</v>
      </c>
      <c r="D18" s="15">
        <v>2</v>
      </c>
    </row>
    <row r="19" spans="2:4" x14ac:dyDescent="0.25">
      <c r="B19" s="19" t="s">
        <v>240</v>
      </c>
      <c r="C19" s="15">
        <v>145</v>
      </c>
      <c r="D19" s="15">
        <v>2</v>
      </c>
    </row>
    <row r="20" spans="2:4" x14ac:dyDescent="0.25">
      <c r="B20" s="18" t="s">
        <v>95</v>
      </c>
      <c r="C20" s="15">
        <v>135</v>
      </c>
      <c r="D20" s="15">
        <v>2</v>
      </c>
    </row>
    <row r="21" spans="2:4" x14ac:dyDescent="0.25">
      <c r="B21" s="19" t="s">
        <v>237</v>
      </c>
      <c r="C21" s="15">
        <v>135</v>
      </c>
      <c r="D21" s="15">
        <v>2</v>
      </c>
    </row>
    <row r="22" spans="2:4" x14ac:dyDescent="0.25">
      <c r="B22" s="17" t="s">
        <v>100</v>
      </c>
      <c r="C22" s="15">
        <v>800</v>
      </c>
      <c r="D22" s="15">
        <v>18</v>
      </c>
    </row>
    <row r="23" spans="2:4" x14ac:dyDescent="0.25">
      <c r="B23" s="18" t="s">
        <v>51</v>
      </c>
      <c r="C23" s="15"/>
      <c r="D23" s="15"/>
    </row>
    <row r="24" spans="2:4" x14ac:dyDescent="0.25">
      <c r="B24" s="18" t="s">
        <v>59</v>
      </c>
      <c r="C24" s="15">
        <v>745</v>
      </c>
      <c r="D24" s="15">
        <v>17</v>
      </c>
    </row>
    <row r="25" spans="2:4" x14ac:dyDescent="0.25">
      <c r="B25" s="19" t="s">
        <v>210</v>
      </c>
      <c r="C25" s="15">
        <v>180</v>
      </c>
      <c r="D25" s="15">
        <v>2</v>
      </c>
    </row>
    <row r="26" spans="2:4" x14ac:dyDescent="0.25">
      <c r="B26" s="19" t="s">
        <v>188</v>
      </c>
      <c r="C26" s="15">
        <v>60</v>
      </c>
      <c r="D26" s="15">
        <v>4</v>
      </c>
    </row>
    <row r="27" spans="2:4" x14ac:dyDescent="0.25">
      <c r="B27" s="19" t="s">
        <v>198</v>
      </c>
      <c r="C27" s="15">
        <v>100</v>
      </c>
      <c r="D27" s="15">
        <v>1</v>
      </c>
    </row>
    <row r="28" spans="2:4" x14ac:dyDescent="0.25">
      <c r="B28" s="19" t="s">
        <v>242</v>
      </c>
      <c r="C28" s="15">
        <v>195</v>
      </c>
      <c r="D28" s="15">
        <v>4</v>
      </c>
    </row>
    <row r="29" spans="2:4" x14ac:dyDescent="0.25">
      <c r="B29" s="19" t="s">
        <v>243</v>
      </c>
      <c r="C29" s="15">
        <v>60</v>
      </c>
      <c r="D29" s="15">
        <v>2</v>
      </c>
    </row>
    <row r="30" spans="2:4" x14ac:dyDescent="0.25">
      <c r="B30" s="19" t="s">
        <v>244</v>
      </c>
      <c r="C30" s="15">
        <v>140</v>
      </c>
      <c r="D30" s="15">
        <v>3</v>
      </c>
    </row>
    <row r="31" spans="2:4" x14ac:dyDescent="0.25">
      <c r="B31" s="19" t="s">
        <v>245</v>
      </c>
      <c r="C31" s="15">
        <v>10</v>
      </c>
      <c r="D31" s="15">
        <v>1</v>
      </c>
    </row>
    <row r="32" spans="2:4" x14ac:dyDescent="0.25">
      <c r="B32" s="18" t="s">
        <v>60</v>
      </c>
      <c r="C32" s="15">
        <v>55</v>
      </c>
      <c r="D32" s="15">
        <v>1</v>
      </c>
    </row>
    <row r="33" spans="2:4" x14ac:dyDescent="0.25">
      <c r="B33" s="19" t="s">
        <v>242</v>
      </c>
      <c r="C33" s="15">
        <v>55</v>
      </c>
      <c r="D33" s="15">
        <v>1</v>
      </c>
    </row>
    <row r="34" spans="2:4" x14ac:dyDescent="0.25">
      <c r="B34" s="17" t="s">
        <v>135</v>
      </c>
      <c r="C34" s="15">
        <v>1721</v>
      </c>
      <c r="D34" s="15">
        <v>36</v>
      </c>
    </row>
    <row r="35" spans="2:4" x14ac:dyDescent="0.25">
      <c r="B35" s="18" t="s">
        <v>51</v>
      </c>
      <c r="C35" s="15"/>
      <c r="D35" s="15"/>
    </row>
    <row r="36" spans="2:4" x14ac:dyDescent="0.25">
      <c r="B36" s="18" t="s">
        <v>59</v>
      </c>
      <c r="C36" s="15">
        <v>1171</v>
      </c>
      <c r="D36" s="15">
        <v>25</v>
      </c>
    </row>
    <row r="37" spans="2:4" x14ac:dyDescent="0.25">
      <c r="B37" s="19" t="s">
        <v>200</v>
      </c>
      <c r="C37" s="15">
        <v>84</v>
      </c>
      <c r="D37" s="15">
        <v>3</v>
      </c>
    </row>
    <row r="38" spans="2:4" x14ac:dyDescent="0.25">
      <c r="B38" s="19" t="s">
        <v>242</v>
      </c>
      <c r="C38" s="15">
        <v>658</v>
      </c>
      <c r="D38" s="15">
        <v>10</v>
      </c>
    </row>
    <row r="39" spans="2:4" x14ac:dyDescent="0.25">
      <c r="B39" s="19" t="s">
        <v>243</v>
      </c>
      <c r="C39" s="15">
        <v>170</v>
      </c>
      <c r="D39" s="15">
        <v>6</v>
      </c>
    </row>
    <row r="40" spans="2:4" x14ac:dyDescent="0.25">
      <c r="B40" s="19" t="s">
        <v>244</v>
      </c>
      <c r="C40" s="15">
        <v>259</v>
      </c>
      <c r="D40" s="15">
        <v>6</v>
      </c>
    </row>
    <row r="41" spans="2:4" x14ac:dyDescent="0.25">
      <c r="B41" s="18" t="s">
        <v>60</v>
      </c>
      <c r="C41" s="15">
        <v>550</v>
      </c>
      <c r="D41" s="15">
        <v>11</v>
      </c>
    </row>
    <row r="42" spans="2:4" x14ac:dyDescent="0.25">
      <c r="B42" s="19" t="s">
        <v>193</v>
      </c>
      <c r="C42" s="15">
        <v>70</v>
      </c>
      <c r="D42" s="15">
        <v>2</v>
      </c>
    </row>
    <row r="43" spans="2:4" x14ac:dyDescent="0.25">
      <c r="B43" s="19" t="s">
        <v>242</v>
      </c>
      <c r="C43" s="15">
        <v>480</v>
      </c>
      <c r="D43" s="15">
        <v>9</v>
      </c>
    </row>
    <row r="44" spans="2:4" x14ac:dyDescent="0.25">
      <c r="B44" s="17" t="s">
        <v>246</v>
      </c>
      <c r="C44" s="15">
        <v>2868</v>
      </c>
      <c r="D44" s="15">
        <v>78</v>
      </c>
    </row>
    <row r="45" spans="2:4" x14ac:dyDescent="0.25">
      <c r="B45" s="18" t="s">
        <v>51</v>
      </c>
      <c r="C45" s="15"/>
      <c r="D45" s="15"/>
    </row>
    <row r="46" spans="2:4" x14ac:dyDescent="0.25">
      <c r="B46" s="18" t="s">
        <v>59</v>
      </c>
      <c r="C46" s="15">
        <v>2749</v>
      </c>
      <c r="D46" s="15">
        <v>73</v>
      </c>
    </row>
    <row r="47" spans="2:4" x14ac:dyDescent="0.25">
      <c r="B47" s="19" t="s">
        <v>200</v>
      </c>
      <c r="C47" s="15">
        <v>1020</v>
      </c>
      <c r="D47" s="15">
        <v>16</v>
      </c>
    </row>
    <row r="48" spans="2:4" x14ac:dyDescent="0.25">
      <c r="B48" s="19" t="s">
        <v>210</v>
      </c>
      <c r="C48" s="15">
        <v>626</v>
      </c>
      <c r="D48" s="15">
        <v>13</v>
      </c>
    </row>
    <row r="49" spans="2:4" x14ac:dyDescent="0.25">
      <c r="B49" s="19" t="s">
        <v>198</v>
      </c>
      <c r="C49" s="15">
        <v>72</v>
      </c>
      <c r="D49" s="15">
        <v>2</v>
      </c>
    </row>
    <row r="50" spans="2:4" x14ac:dyDescent="0.25">
      <c r="B50" s="19" t="s">
        <v>193</v>
      </c>
      <c r="C50" s="15">
        <v>140</v>
      </c>
      <c r="D50" s="15">
        <v>3</v>
      </c>
    </row>
    <row r="51" spans="2:4" x14ac:dyDescent="0.25">
      <c r="B51" s="19" t="s">
        <v>244</v>
      </c>
      <c r="C51" s="15">
        <v>417</v>
      </c>
      <c r="D51" s="15">
        <v>18</v>
      </c>
    </row>
    <row r="52" spans="2:4" x14ac:dyDescent="0.25">
      <c r="B52" s="19" t="s">
        <v>245</v>
      </c>
      <c r="C52" s="15">
        <v>176</v>
      </c>
      <c r="D52" s="15">
        <v>8</v>
      </c>
    </row>
    <row r="53" spans="2:4" x14ac:dyDescent="0.25">
      <c r="B53" s="19" t="s">
        <v>195</v>
      </c>
      <c r="C53" s="15">
        <v>107</v>
      </c>
      <c r="D53" s="15">
        <v>2</v>
      </c>
    </row>
    <row r="54" spans="2:4" x14ac:dyDescent="0.25">
      <c r="B54" s="19" t="s">
        <v>215</v>
      </c>
      <c r="C54" s="15">
        <v>191</v>
      </c>
      <c r="D54" s="15">
        <v>11</v>
      </c>
    </row>
    <row r="55" spans="2:4" x14ac:dyDescent="0.25">
      <c r="B55" s="18" t="s">
        <v>60</v>
      </c>
      <c r="C55" s="15">
        <v>119</v>
      </c>
      <c r="D55" s="15">
        <v>5</v>
      </c>
    </row>
    <row r="56" spans="2:4" x14ac:dyDescent="0.25">
      <c r="B56" s="19" t="s">
        <v>200</v>
      </c>
      <c r="C56" s="15">
        <v>92</v>
      </c>
      <c r="D56" s="15">
        <v>4</v>
      </c>
    </row>
    <row r="57" spans="2:4" x14ac:dyDescent="0.25">
      <c r="B57" s="19" t="s">
        <v>193</v>
      </c>
      <c r="C57" s="15">
        <v>27</v>
      </c>
      <c r="D57" s="15">
        <v>1</v>
      </c>
    </row>
    <row r="58" spans="2:4" x14ac:dyDescent="0.25">
      <c r="B58" s="17" t="s">
        <v>399</v>
      </c>
      <c r="C58" s="15">
        <v>68</v>
      </c>
      <c r="D58" s="15">
        <v>3</v>
      </c>
    </row>
    <row r="59" spans="2:4" x14ac:dyDescent="0.25">
      <c r="B59" s="18" t="s">
        <v>51</v>
      </c>
      <c r="C59" s="15"/>
      <c r="D59" s="15"/>
    </row>
    <row r="60" spans="2:4" x14ac:dyDescent="0.25">
      <c r="B60" s="18" t="s">
        <v>59</v>
      </c>
      <c r="C60" s="15">
        <v>68</v>
      </c>
      <c r="D60" s="15">
        <v>3</v>
      </c>
    </row>
    <row r="61" spans="2:4" x14ac:dyDescent="0.25">
      <c r="B61" s="19" t="s">
        <v>200</v>
      </c>
      <c r="C61" s="15">
        <v>30</v>
      </c>
      <c r="D61" s="15">
        <v>1</v>
      </c>
    </row>
    <row r="62" spans="2:4" x14ac:dyDescent="0.25">
      <c r="B62" s="19" t="s">
        <v>195</v>
      </c>
      <c r="C62" s="15">
        <v>38</v>
      </c>
      <c r="D62" s="15">
        <v>2</v>
      </c>
    </row>
    <row r="63" spans="2:4" x14ac:dyDescent="0.25">
      <c r="B63" s="17" t="s">
        <v>406</v>
      </c>
      <c r="C63" s="15">
        <v>82</v>
      </c>
      <c r="D63" s="15">
        <v>5</v>
      </c>
    </row>
    <row r="64" spans="2:4" x14ac:dyDescent="0.25">
      <c r="B64" s="18" t="s">
        <v>51</v>
      </c>
      <c r="C64" s="15"/>
      <c r="D64" s="15"/>
    </row>
    <row r="65" spans="2:4" x14ac:dyDescent="0.25">
      <c r="B65" s="18" t="s">
        <v>59</v>
      </c>
      <c r="C65" s="15">
        <v>82</v>
      </c>
      <c r="D65" s="15">
        <v>5</v>
      </c>
    </row>
    <row r="66" spans="2:4" x14ac:dyDescent="0.25">
      <c r="B66" s="19" t="s">
        <v>210</v>
      </c>
      <c r="C66" s="15">
        <v>20</v>
      </c>
      <c r="D66" s="15">
        <v>1</v>
      </c>
    </row>
    <row r="67" spans="2:4" x14ac:dyDescent="0.25">
      <c r="B67" s="19" t="s">
        <v>245</v>
      </c>
      <c r="C67" s="15">
        <v>62</v>
      </c>
      <c r="D67" s="15">
        <v>4</v>
      </c>
    </row>
    <row r="68" spans="2:4" x14ac:dyDescent="0.25">
      <c r="B68" s="17" t="s">
        <v>428</v>
      </c>
      <c r="C68" s="15">
        <v>95</v>
      </c>
      <c r="D68" s="15">
        <v>2</v>
      </c>
    </row>
    <row r="69" spans="2:4" x14ac:dyDescent="0.25">
      <c r="B69" s="18" t="s">
        <v>51</v>
      </c>
      <c r="C69" s="15"/>
      <c r="D69" s="15"/>
    </row>
    <row r="70" spans="2:4" x14ac:dyDescent="0.25">
      <c r="B70" s="18" t="s">
        <v>95</v>
      </c>
      <c r="C70" s="15">
        <v>95</v>
      </c>
      <c r="D70" s="15">
        <v>2</v>
      </c>
    </row>
    <row r="71" spans="2:4" x14ac:dyDescent="0.25">
      <c r="B71" s="19" t="s">
        <v>237</v>
      </c>
      <c r="C71" s="15">
        <v>95</v>
      </c>
      <c r="D71" s="15">
        <v>2</v>
      </c>
    </row>
    <row r="72" spans="2:4" x14ac:dyDescent="0.25">
      <c r="B72" s="17" t="s">
        <v>40</v>
      </c>
      <c r="C72" s="15">
        <v>6477</v>
      </c>
      <c r="D72" s="15">
        <v>163</v>
      </c>
    </row>
  </sheetData>
  <pageMargins left="0.7" right="0.7" top="0.75" bottom="0.75" header="0.3" footer="0.3"/>
  <pageSetup paperSize="9" scale="42" orientation="landscape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</vt:i4>
      </vt:variant>
    </vt:vector>
  </HeadingPairs>
  <TitlesOfParts>
    <vt:vector size="16" baseType="lpstr">
      <vt:lpstr>Кабель</vt:lpstr>
      <vt:lpstr>Содержание</vt:lpstr>
      <vt:lpstr>Сводная ведомость A3</vt:lpstr>
      <vt:lpstr>Сводная ведомость A4</vt:lpstr>
      <vt:lpstr>КЖ</vt:lpstr>
      <vt:lpstr>Сводная таблица</vt:lpstr>
      <vt:lpstr>Жила1</vt:lpstr>
      <vt:lpstr>Жилы</vt:lpstr>
      <vt:lpstr>Жилы2</vt:lpstr>
      <vt:lpstr>Жилы3</vt:lpstr>
      <vt:lpstr>Жилы4</vt:lpstr>
      <vt:lpstr>Жилы5</vt:lpstr>
      <vt:lpstr>КЖ!Заголовки_для_печати</vt:lpstr>
      <vt:lpstr>КЖ</vt:lpstr>
      <vt:lpstr>Разметка</vt:lpstr>
      <vt:lpstr>Тип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romanov_v</dc:creator>
  <cp:lastModifiedBy>Романов</cp:lastModifiedBy>
  <cp:lastPrinted>2017-04-05T13:54:13Z</cp:lastPrinted>
  <dcterms:created xsi:type="dcterms:W3CDTF">2012-03-15T13:29:14Z</dcterms:created>
  <dcterms:modified xsi:type="dcterms:W3CDTF">2017-04-20T10:54:19Z</dcterms:modified>
</cp:coreProperties>
</file>